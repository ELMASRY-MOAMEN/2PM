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01"/>
  <workbookPr defaultThemeVersion="124226"/>
  <mc:AlternateContent xmlns:mc="http://schemas.openxmlformats.org/markup-compatibility/2006">
    <mc:Choice Requires="x15">
      <x15ac:absPath xmlns:x15ac="http://schemas.microsoft.com/office/spreadsheetml/2010/11/ac" url="G:\Henix\Formation\AMOA\Déploiement\"/>
    </mc:Choice>
  </mc:AlternateContent>
  <bookViews>
    <workbookView xWindow="0" yWindow="0" windowWidth="24000" windowHeight="9510" tabRatio="827" firstSheet="1" activeTab="9"/>
  </bookViews>
  <sheets>
    <sheet name="01 - Préparation" sheetId="5" r:id="rId1"/>
    <sheet name="02 - Upgrade online" sheetId="14" r:id="rId2"/>
    <sheet name="02' - Upgrade dowtime" sheetId="12" r:id="rId3"/>
    <sheet name="03 - Export - Import" sheetId="2" r:id="rId4"/>
    <sheet name="04 - Post Upgrade" sheetId="6" r:id="rId5"/>
    <sheet name="05 - Verif_fonc_DINR" sheetId="8" r:id="rId6"/>
    <sheet name="06 - Tranches" sheetId="13" r:id="rId7"/>
    <sheet name="07 - Liste d'OTs" sheetId="9" r:id="rId8"/>
    <sheet name="Ots consolidés controle " sheetId="15" r:id="rId9"/>
    <sheet name="Roll Back" sheetId="16" r:id="rId10"/>
  </sheets>
  <definedNames>
    <definedName name="_xlnm._FilterDatabase" localSheetId="0" hidden="1">'01 - Préparation'!$A$1:$L$21</definedName>
    <definedName name="_xlnm._FilterDatabase" localSheetId="4" hidden="1">'04 - Post Upgrade'!$A$1:$L$126</definedName>
    <definedName name="_xlnm._FilterDatabase" localSheetId="5" hidden="1">'05 - Verif_fonc_DINR'!$A$1:$F$144</definedName>
    <definedName name="Z_004BE54A_275A_46AC_9289_B65B278ADED6_.wvu.Cols" localSheetId="0" hidden="1">'01 - Préparation'!#REF!</definedName>
    <definedName name="Z_004BE54A_275A_46AC_9289_B65B278ADED6_.wvu.Cols" localSheetId="4" hidden="1">'04 - Post Upgrade'!#REF!</definedName>
    <definedName name="Z_004BE54A_275A_46AC_9289_B65B278ADED6_.wvu.FilterData" localSheetId="0" hidden="1">'01 - Préparation'!$A$1:$L$21</definedName>
    <definedName name="Z_004BE54A_275A_46AC_9289_B65B278ADED6_.wvu.FilterData" localSheetId="4" hidden="1">'04 - Post Upgrade'!$A$1:$L$126</definedName>
    <definedName name="Z_0C51B8E3_BB85_46BB_BD24_8DA043FC79FE_.wvu.Rows" localSheetId="0" hidden="1">'01 - Préparation'!#REF!,'01 - Préparation'!#REF!,'01 - Préparation'!#REF!,'01 - Préparation'!#REF!,'01 - Préparation'!#REF!,'01 - Préparation'!#REF!,'01 - Préparation'!#REF!,'01 - Préparation'!#REF!,'01 - Préparation'!#REF!,'01 - Préparation'!#REF!</definedName>
    <definedName name="Z_0C51B8E3_BB85_46BB_BD24_8DA043FC79FE_.wvu.Rows" localSheetId="4" hidden="1">'04 - Post Upgrade'!#REF!,'04 - Post Upgrade'!#REF!,'04 - Post Upgrade'!#REF!,'04 - Post Upgrade'!#REF!,'04 - Post Upgrade'!#REF!,'04 - Post Upgrade'!#REF!,'04 - Post Upgrade'!#REF!,'04 - Post Upgrade'!#REF!,'04 - Post Upgrade'!#REF!,'04 - Post Upgrade'!#REF!</definedName>
    <definedName name="Z_0DCA5789_143F_4669_A49F_BF8CAD2BF04D_.wvu.FilterData" localSheetId="0" hidden="1">'01 - Préparation'!$A$1:$L$21</definedName>
    <definedName name="Z_0DCA5789_143F_4669_A49F_BF8CAD2BF04D_.wvu.FilterData" localSheetId="4" hidden="1">'04 - Post Upgrade'!$A$1:$L$126</definedName>
    <definedName name="Z_255F15DF_E4BB_41BE_8CA8_F7383CE7569C_.wvu.Cols" localSheetId="0" hidden="1">'01 - Préparation'!#REF!</definedName>
    <definedName name="Z_255F15DF_E4BB_41BE_8CA8_F7383CE7569C_.wvu.Cols" localSheetId="4" hidden="1">'04 - Post Upgrade'!#REF!</definedName>
    <definedName name="Z_255F15DF_E4BB_41BE_8CA8_F7383CE7569C_.wvu.FilterData" localSheetId="0" hidden="1">'01 - Préparation'!$A$1:$L$21</definedName>
    <definedName name="Z_255F15DF_E4BB_41BE_8CA8_F7383CE7569C_.wvu.FilterData" localSheetId="4" hidden="1">'04 - Post Upgrade'!$A$1:$L$126</definedName>
    <definedName name="Z_255F15DF_E4BB_41BE_8CA8_F7383CE7569C_.wvu.Rows" localSheetId="0" hidden="1">'01 - Préparation'!$3:$21,'01 - Préparation'!#REF!,'01 - Préparation'!#REF!,'01 - Préparation'!#REF!,'01 - Préparation'!#REF!,'01 - Préparation'!#REF!,'01 - Préparation'!#REF!,'01 - Préparation'!#REF!,'01 - Préparation'!#REF!,'01 - Préparation'!#REF!</definedName>
    <definedName name="Z_255F15DF_E4BB_41BE_8CA8_F7383CE7569C_.wvu.Rows" localSheetId="4" hidden="1">'04 - Post Upgrade'!$6:$126,'04 - Post Upgrade'!#REF!,'04 - Post Upgrade'!#REF!,'04 - Post Upgrade'!#REF!,'04 - Post Upgrade'!#REF!,'04 - Post Upgrade'!#REF!,'04 - Post Upgrade'!#REF!,'04 - Post Upgrade'!#REF!,'04 - Post Upgrade'!#REF!,'04 - Post Upgrade'!#REF!</definedName>
    <definedName name="Z_27CB1978_9D10_4D11_93E0_E594CE3C4340_.wvu.FilterData" localSheetId="0" hidden="1">'01 - Préparation'!$A$1:$L$21</definedName>
    <definedName name="Z_27CB1978_9D10_4D11_93E0_E594CE3C4340_.wvu.FilterData" localSheetId="4" hidden="1">'04 - Post Upgrade'!$A$1:$L$126</definedName>
    <definedName name="Z_2E10832E_CBB5_43CD_8998_335B863B32FA_.wvu.Rows" localSheetId="0" hidden="1">'01 - Préparation'!#REF!</definedName>
    <definedName name="Z_2E10832E_CBB5_43CD_8998_335B863B32FA_.wvu.Rows" localSheetId="4" hidden="1">'04 - Post Upgrade'!#REF!</definedName>
    <definedName name="Z_4A4DB954_B32D_4223_A944_68CD038E05B7_.wvu.FilterData" localSheetId="0" hidden="1">'01 - Préparation'!$A$1:$L$21</definedName>
    <definedName name="Z_4A4DB954_B32D_4223_A944_68CD038E05B7_.wvu.FilterData" localSheetId="4" hidden="1">'04 - Post Upgrade'!$A$1:$L$126</definedName>
    <definedName name="Z_53A885A4_CCF8_43A0_911A_1DF144568AD6_.wvu.Rows" localSheetId="0" hidden="1">'01 - Préparation'!#REF!,'01 - Préparation'!#REF!</definedName>
    <definedName name="Z_53A885A4_CCF8_43A0_911A_1DF144568AD6_.wvu.Rows" localSheetId="4" hidden="1">'04 - Post Upgrade'!#REF!,'04 - Post Upgrade'!#REF!</definedName>
    <definedName name="Z_8D126D63_31DB_416C_8612_62652C7E2D36_.wvu.Rows" localSheetId="0" hidden="1">'01 - Préparation'!#REF!,'01 - Préparation'!#REF!</definedName>
    <definedName name="Z_8D126D63_31DB_416C_8612_62652C7E2D36_.wvu.Rows" localSheetId="4" hidden="1">'04 - Post Upgrade'!#REF!,'04 - Post Upgrade'!#REF!</definedName>
    <definedName name="Z_AC56A66C_E95D_433F_8A1D_2E3374190066_.wvu.FilterData" localSheetId="0" hidden="1">'01 - Préparation'!$A$1:$L$21</definedName>
    <definedName name="Z_AC56A66C_E95D_433F_8A1D_2E3374190066_.wvu.FilterData" localSheetId="4" hidden="1">'04 - Post Upgrade'!$A$1:$L$126</definedName>
    <definedName name="Z_BCDC4E56_1D6A_43DA_8A5F_16A7424F1133_.wvu.Cols" localSheetId="0" hidden="1">'01 - Préparation'!#REF!</definedName>
    <definedName name="Z_BCDC4E56_1D6A_43DA_8A5F_16A7424F1133_.wvu.Cols" localSheetId="4" hidden="1">'04 - Post Upgrade'!#REF!</definedName>
    <definedName name="Z_BCDC4E56_1D6A_43DA_8A5F_16A7424F1133_.wvu.FilterData" localSheetId="0" hidden="1">'01 - Préparation'!$A$1:$T$21</definedName>
    <definedName name="Z_BCDC4E56_1D6A_43DA_8A5F_16A7424F1133_.wvu.FilterData" localSheetId="4" hidden="1">'04 - Post Upgrade'!$A$1:$T$126</definedName>
    <definedName name="Z_BD836B6B_213A_43C7_B513_918E95F8CBD1_.wvu.FilterData" localSheetId="0" hidden="1">'01 - Préparation'!$A$1:$L$21</definedName>
    <definedName name="Z_BD836B6B_213A_43C7_B513_918E95F8CBD1_.wvu.FilterData" localSheetId="4" hidden="1">'04 - Post Upgrade'!$A$1:$L$126</definedName>
    <definedName name="Z_C2193BFD_1BD0_427E_8A3B_404F6BA36BAA_.wvu.Rows" localSheetId="0" hidden="1">'01 - Préparation'!#REF!,'01 - Préparation'!#REF!,'01 - Préparation'!#REF!,'01 - Préparation'!#REF!,'01 - Préparation'!#REF!,'01 - Préparation'!#REF!,'01 - Préparation'!#REF!,'01 - Préparation'!#REF!,'01 - Préparation'!#REF!,'01 - Préparation'!#REF!</definedName>
    <definedName name="Z_C2193BFD_1BD0_427E_8A3B_404F6BA36BAA_.wvu.Rows" localSheetId="4" hidden="1">'04 - Post Upgrade'!#REF!,'04 - Post Upgrade'!#REF!,'04 - Post Upgrade'!#REF!,'04 - Post Upgrade'!#REF!,'04 - Post Upgrade'!#REF!,'04 - Post Upgrade'!#REF!,'04 - Post Upgrade'!#REF!,'04 - Post Upgrade'!#REF!,'04 - Post Upgrade'!#REF!,'04 - Post Upgrade'!#REF!</definedName>
    <definedName name="Z_C3F17FE5_D79C_4826_BC45_AEFEC3C0EFCA_.wvu.FilterData" localSheetId="0" hidden="1">'01 - Préparation'!$A$1:$L$21</definedName>
    <definedName name="Z_C3F17FE5_D79C_4826_BC45_AEFEC3C0EFCA_.wvu.FilterData" localSheetId="4" hidden="1">'04 - Post Upgrade'!$A$1:$L$126</definedName>
    <definedName name="Z_CF42592B_4433_455C_AE9D_5199CD9B3E48_.wvu.Rows" localSheetId="0" hidden="1">'01 - Préparation'!#REF!,'01 - Préparation'!#REF!,'01 - Préparation'!#REF!,'01 - Préparation'!#REF!</definedName>
    <definedName name="Z_CF42592B_4433_455C_AE9D_5199CD9B3E48_.wvu.Rows" localSheetId="4" hidden="1">'04 - Post Upgrade'!#REF!,'04 - Post Upgrade'!#REF!,'04 - Post Upgrade'!#REF!,'04 - Post Upgrade'!#REF!</definedName>
    <definedName name="Z_EB7B4EE3_6333_42B5_A318_5C3AB04E0F4D_.wvu.Cols" localSheetId="0" hidden="1">'01 - Préparation'!#REF!</definedName>
    <definedName name="Z_EB7B4EE3_6333_42B5_A318_5C3AB04E0F4D_.wvu.Cols" localSheetId="4" hidden="1">'04 - Post Upgrade'!#REF!</definedName>
    <definedName name="Z_EFD0C189_9324_4D86_95BA_5C156BEBE3FF_.wvu.FilterData" localSheetId="0" hidden="1">'01 - Préparation'!$A$1:$L$21</definedName>
    <definedName name="Z_EFD0C189_9324_4D86_95BA_5C156BEBE3FF_.wvu.FilterData" localSheetId="4" hidden="1">'04 - Post Upgrade'!$A$1:$L$126</definedName>
  </definedNames>
  <calcPr calcId="171027"/>
  <customWorkbookViews>
    <customWorkbookView name="bedup - Affichage personnalisé" guid="{EFD0C189-9324-4D86-95BA-5C156BEBE3FF}" mergeInterval="0" personalView="1" maximized="1" xWindow="1" yWindow="1" windowWidth="1362" windowHeight="537" activeSheetId="4"/>
    <customWorkbookView name="VIEL PIERRE - Affichage personnalisé" guid="{C3F17FE5-D79C-4826-BC45-AEFEC3C0EFCA}" mergeInterval="0" personalView="1" maximized="1" windowWidth="1362" windowHeight="543" activeSheetId="2"/>
    <customWorkbookView name="TAGUET Iris - Affichage personnalisé" guid="{255F15DF-E4BB-41BE-8CA8-F7383CE7569C}" mergeInterval="0" personalView="1" maximized="1" windowWidth="1276" windowHeight="809" activeSheetId="1"/>
    <customWorkbookView name="KASSUBECK JEAN-LOUIS - Expire le 31/12/2013 - Affichage personnalisé" guid="{EB7B4EE3-6333-42B5-A318-5C3AB04E0F4D}" mergeInterval="0" personalView="1" maximized="1" windowWidth="1276" windowHeight="753" activeSheetId="1"/>
    <customWorkbookView name="FLO - Affichage personnalisé" guid="{8C59926E-C46C-4BD8-8FAA-C5E055013DC3}" mergeInterval="0" personalView="1" maximized="1" xWindow="1" yWindow="1" windowWidth="1920" windowHeight="850" activeSheetId="2"/>
    <customWorkbookView name="TALEB HINDE (Expire le 2015/01/31) - Affichage personnalisé" guid="{343DE7ED-F47E-4A72-B494-00000665839C}" mergeInterval="0" personalView="1" maximized="1" windowWidth="1276" windowHeight="809" activeSheetId="1"/>
    <customWorkbookView name="RIOUSSET FLORENT - Affichage personnalisé" guid="{BCDC4E56-1D6A-43DA-8A5F-16A7424F1133}" mergeInterval="0" personalView="1" maximized="1" windowWidth="1276" windowHeight="785" activeSheetId="1"/>
    <customWorkbookView name="LAWSON PHILIPPE - Affichage personnalisé" guid="{004BE54A-275A-46AC-9289-B65B278ADED6}" mergeInterval="0" personalView="1" maximized="1" windowWidth="1276" windowHeight="777" activeSheetId="1"/>
    <customWorkbookView name="Pavel VARTAPETIAN - Affichage personnalisé" guid="{27CB1978-9D10-4D11-93E0-E594CE3C4340}" mergeInterval="0" personalView="1" maximized="1" windowWidth="1440" windowHeight="714" activeSheetId="1"/>
  </customWorkbookViews>
</workbook>
</file>

<file path=xl/calcChain.xml><?xml version="1.0" encoding="utf-8"?>
<calcChain xmlns="http://schemas.openxmlformats.org/spreadsheetml/2006/main">
  <c r="I34" i="12" l="1"/>
  <c r="J34" i="12" l="1"/>
  <c r="J55" i="6"/>
  <c r="I56" i="6" s="1"/>
  <c r="J56" i="6" s="1"/>
  <c r="I57" i="6" s="1"/>
  <c r="J57" i="6" s="1"/>
  <c r="I58" i="6" s="1"/>
  <c r="J58" i="6" s="1"/>
  <c r="I59" i="6" s="1"/>
  <c r="J59" i="6" s="1"/>
  <c r="I60" i="6" s="1"/>
  <c r="J60" i="6" s="1"/>
  <c r="J103" i="6"/>
  <c r="I105" i="6" s="1"/>
  <c r="J105" i="6" s="1"/>
  <c r="H27" i="16"/>
  <c r="H9" i="16"/>
  <c r="J9" i="5"/>
  <c r="J16" i="12"/>
  <c r="I17" i="12" s="1"/>
  <c r="J17" i="12" s="1"/>
  <c r="I18" i="12" s="1"/>
  <c r="J18" i="12" s="1"/>
  <c r="I19" i="12" s="1"/>
  <c r="J19" i="12" s="1"/>
  <c r="I20" i="12" s="1"/>
  <c r="J20" i="12" s="1"/>
  <c r="I21" i="12"/>
  <c r="J21" i="12"/>
  <c r="J14" i="12"/>
  <c r="J41" i="12"/>
  <c r="I43" i="12" s="1"/>
  <c r="J43" i="12" s="1"/>
  <c r="I44" i="12" s="1"/>
  <c r="J44" i="12" s="1"/>
  <c r="I46" i="12" s="1"/>
  <c r="J46" i="12" s="1"/>
  <c r="I47" i="12" s="1"/>
  <c r="J47" i="12" s="1"/>
  <c r="I48" i="12" s="1"/>
  <c r="J48" i="12" s="1"/>
  <c r="I49" i="12" s="1"/>
  <c r="J49" i="12" s="1"/>
  <c r="I50" i="12" s="1"/>
  <c r="J50" i="12" s="1"/>
  <c r="I52" i="12" s="1"/>
  <c r="J52" i="12" s="1"/>
  <c r="I53" i="12" s="1"/>
  <c r="J53" i="12" s="1"/>
  <c r="I54" i="12" s="1"/>
  <c r="J54" i="12" s="1"/>
  <c r="I55" i="12" s="1"/>
  <c r="J55" i="12" s="1"/>
  <c r="I4" i="2" s="1"/>
  <c r="J4" i="2" s="1"/>
  <c r="I5" i="2" s="1"/>
  <c r="J5" i="2" s="1"/>
  <c r="I6" i="2" s="1"/>
  <c r="J6" i="2" s="1"/>
  <c r="I7" i="2" s="1"/>
  <c r="J7" i="2" s="1"/>
  <c r="I8" i="2" s="1"/>
  <c r="J8" i="2" s="1"/>
  <c r="I9" i="2" s="1"/>
  <c r="J9" i="2" s="1"/>
  <c r="I10" i="2" s="1"/>
  <c r="J10" i="2" s="1"/>
  <c r="I11" i="2" s="1"/>
  <c r="J11" i="2" s="1"/>
  <c r="I12" i="2" s="1"/>
  <c r="J12" i="2" s="1"/>
  <c r="I13" i="2" s="1"/>
  <c r="J13" i="2" s="1"/>
  <c r="I14" i="2" s="1"/>
  <c r="J14" i="2" s="1"/>
  <c r="J37" i="12"/>
  <c r="I38" i="12" s="1"/>
  <c r="J38" i="12" s="1"/>
  <c r="J27" i="12"/>
  <c r="J28" i="12"/>
  <c r="J29" i="12"/>
  <c r="J30" i="12"/>
  <c r="J31" i="12"/>
  <c r="J32" i="12"/>
  <c r="J33" i="12"/>
  <c r="I36" i="12" s="1"/>
  <c r="J36" i="12" s="1"/>
  <c r="J35" i="12"/>
  <c r="J13" i="12"/>
  <c r="I42" i="12"/>
  <c r="J42" i="12"/>
  <c r="J110" i="6"/>
  <c r="I117" i="6" s="1"/>
  <c r="J117" i="6" s="1"/>
  <c r="I119" i="6" s="1"/>
  <c r="J119" i="6" s="1"/>
  <c r="R5" i="13"/>
  <c r="R3" i="13" s="1"/>
  <c r="S3" i="13" s="1"/>
  <c r="J131" i="6"/>
  <c r="I8" i="12"/>
  <c r="J8" i="12" s="1"/>
  <c r="J12" i="12"/>
  <c r="J9" i="12"/>
  <c r="I11" i="12"/>
  <c r="J11" i="12" s="1"/>
  <c r="I65" i="14"/>
  <c r="J65" i="14"/>
  <c r="J17" i="14"/>
  <c r="I18" i="14" s="1"/>
  <c r="J18" i="14" s="1"/>
  <c r="I19" i="14" s="1"/>
  <c r="J19" i="14" s="1"/>
  <c r="I20" i="14" s="1"/>
  <c r="J20" i="14" s="1"/>
  <c r="I21" i="14" s="1"/>
  <c r="J21" i="14" s="1"/>
  <c r="I22" i="14" s="1"/>
  <c r="J22" i="14" s="1"/>
  <c r="I23" i="14" s="1"/>
  <c r="J23" i="14" s="1"/>
  <c r="I24" i="14" s="1"/>
  <c r="J24" i="14" s="1"/>
  <c r="J14" i="14"/>
  <c r="I15" i="14"/>
  <c r="J15" i="14" s="1"/>
  <c r="I16" i="14" s="1"/>
  <c r="J16" i="14" s="1"/>
  <c r="I3" i="12"/>
  <c r="J3" i="12" s="1"/>
  <c r="I102" i="6"/>
  <c r="J102" i="6"/>
  <c r="J15" i="12"/>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I22" i="12"/>
  <c r="J22" i="12" s="1"/>
  <c r="I23" i="12" s="1"/>
  <c r="J23" i="12" s="1"/>
  <c r="I24" i="12" s="1"/>
  <c r="J24" i="12" s="1"/>
  <c r="I25" i="12" s="1"/>
  <c r="J25" i="12" s="1"/>
  <c r="I39" i="12" s="1"/>
  <c r="J39" i="12" s="1"/>
  <c r="J63" i="14"/>
  <c r="I109" i="6"/>
  <c r="J109" i="6" s="1"/>
  <c r="J22" i="2"/>
  <c r="I23" i="2" s="1"/>
  <c r="J23" i="2" s="1"/>
  <c r="I24" i="2" s="1"/>
  <c r="J24" i="2" s="1"/>
  <c r="I25" i="2" s="1"/>
  <c r="J25" i="2" s="1"/>
  <c r="I26" i="2" s="1"/>
  <c r="J26" i="2" s="1"/>
  <c r="I20" i="2"/>
  <c r="J20" i="2" s="1"/>
  <c r="I40" i="12"/>
  <c r="J40" i="12"/>
  <c r="J8" i="6"/>
  <c r="I9" i="6" s="1"/>
  <c r="J9" i="6" s="1"/>
  <c r="I25" i="14" l="1"/>
  <c r="J25" i="14" s="1"/>
  <c r="I26" i="14"/>
  <c r="J26" i="14" s="1"/>
  <c r="I27" i="14" s="1"/>
  <c r="J27" i="14" s="1"/>
  <c r="I28" i="14" s="1"/>
  <c r="J28" i="14" s="1"/>
  <c r="I116" i="6"/>
  <c r="J116" i="6" s="1"/>
  <c r="I118" i="6" s="1"/>
  <c r="J118" i="6" s="1"/>
  <c r="I112" i="6"/>
  <c r="J112" i="6" s="1"/>
  <c r="I113" i="6" s="1"/>
  <c r="J113" i="6" s="1"/>
  <c r="I114" i="6" s="1"/>
  <c r="J114" i="6" s="1"/>
  <c r="I115" i="6" s="1"/>
  <c r="J115" i="6" s="1"/>
  <c r="I15" i="2"/>
  <c r="J15" i="2" s="1"/>
  <c r="I16" i="2" s="1"/>
  <c r="J16" i="2" s="1"/>
  <c r="I17" i="2" s="1"/>
  <c r="J17" i="2" s="1"/>
  <c r="I18" i="2" s="1"/>
  <c r="J18" i="2" s="1"/>
  <c r="I19" i="2" s="1"/>
  <c r="J19" i="2" s="1"/>
  <c r="I27" i="2" s="1"/>
  <c r="J27" i="2" s="1"/>
  <c r="I29" i="2" s="1"/>
  <c r="J29" i="2" s="1"/>
  <c r="I30" i="2" s="1"/>
  <c r="J30" i="2" s="1"/>
  <c r="I10" i="6"/>
  <c r="J10" i="6" s="1"/>
  <c r="I11" i="6"/>
  <c r="J11" i="6" s="1"/>
  <c r="I12" i="6" s="1"/>
  <c r="J12" i="6" s="1"/>
  <c r="I13" i="6" s="1"/>
  <c r="J13" i="6" s="1"/>
  <c r="I14" i="6" s="1"/>
  <c r="J14" i="6" s="1"/>
  <c r="I15" i="6" s="1"/>
  <c r="J15" i="6" s="1"/>
  <c r="I16" i="6" s="1"/>
  <c r="J16" i="6" s="1"/>
  <c r="I17" i="6" s="1"/>
  <c r="J17" i="6" s="1"/>
  <c r="I18" i="6" s="1"/>
  <c r="J18" i="6" s="1"/>
  <c r="I19" i="6" s="1"/>
  <c r="J19" i="6" s="1"/>
  <c r="I20" i="6" s="1"/>
  <c r="J20" i="6" s="1"/>
  <c r="I21" i="6" s="1"/>
  <c r="J21" i="6" s="1"/>
  <c r="I22" i="6" s="1"/>
  <c r="J22" i="6" s="1"/>
  <c r="I122" i="6"/>
  <c r="J122" i="6" s="1"/>
  <c r="I124" i="6"/>
  <c r="J124" i="6" s="1"/>
  <c r="I125" i="6" s="1"/>
  <c r="J125" i="6" s="1"/>
  <c r="I126" i="6" s="1"/>
  <c r="J126" i="6" s="1"/>
  <c r="I127" i="6" s="1"/>
  <c r="J127" i="6" s="1"/>
  <c r="I120" i="6"/>
  <c r="J120" i="6" s="1"/>
  <c r="I123" i="6"/>
  <c r="J123" i="6" s="1"/>
  <c r="I106" i="6"/>
  <c r="J106" i="6" s="1"/>
  <c r="I107" i="6"/>
  <c r="J107" i="6" s="1"/>
  <c r="I7" i="6"/>
  <c r="J7" i="6" s="1"/>
  <c r="I61" i="6"/>
  <c r="J61" i="6" s="1"/>
  <c r="I62" i="6" s="1"/>
  <c r="J62" i="6" s="1"/>
  <c r="I63" i="6" s="1"/>
  <c r="J63" i="6" s="1"/>
  <c r="I64" i="6" s="1"/>
  <c r="J64" i="6" s="1"/>
  <c r="I65" i="6" s="1"/>
  <c r="J65" i="6" s="1"/>
  <c r="I66" i="6" s="1"/>
  <c r="J66" i="6" s="1"/>
  <c r="I67" i="6" s="1"/>
  <c r="J67" i="6" s="1"/>
  <c r="I68" i="6" s="1"/>
  <c r="J68" i="6" s="1"/>
  <c r="I69" i="6" s="1"/>
  <c r="J69" i="6" s="1"/>
  <c r="I70" i="6" s="1"/>
  <c r="J70" i="6" s="1"/>
  <c r="I71" i="6" s="1"/>
  <c r="J71" i="6" s="1"/>
  <c r="I72" i="6" s="1"/>
  <c r="J72" i="6" s="1"/>
  <c r="I73" i="6" s="1"/>
  <c r="J73" i="6" s="1"/>
  <c r="I74" i="6" s="1"/>
  <c r="J74" i="6" s="1"/>
  <c r="I75" i="6" s="1"/>
  <c r="J75" i="6" s="1"/>
  <c r="I76" i="6" s="1"/>
  <c r="J76" i="6" s="1"/>
  <c r="I29" i="14" l="1"/>
  <c r="J29" i="14" s="1"/>
  <c r="I31" i="14" s="1"/>
  <c r="J31" i="14" s="1"/>
  <c r="I30" i="14"/>
  <c r="J30" i="14" s="1"/>
  <c r="I31" i="2"/>
  <c r="J31" i="2" s="1"/>
  <c r="I33" i="2" s="1"/>
  <c r="J33" i="2" s="1"/>
  <c r="I32" i="2"/>
  <c r="J32" i="2" s="1"/>
  <c r="I23" i="6"/>
  <c r="J23" i="6" s="1"/>
  <c r="I77" i="6"/>
  <c r="J77" i="6" s="1"/>
  <c r="I79" i="6" s="1"/>
  <c r="J79" i="6" s="1"/>
  <c r="I80" i="6" s="1"/>
  <c r="J80" i="6" s="1"/>
  <c r="I81" i="6" s="1"/>
  <c r="J81" i="6" s="1"/>
  <c r="I82" i="6" s="1"/>
  <c r="J82" i="6" s="1"/>
  <c r="I83" i="6" s="1"/>
  <c r="J83" i="6" s="1"/>
  <c r="I84" i="6" s="1"/>
  <c r="J84" i="6" s="1"/>
  <c r="I85" i="6" s="1"/>
  <c r="J85" i="6" s="1"/>
  <c r="I86" i="6" s="1"/>
  <c r="J86" i="6" s="1"/>
  <c r="I87" i="6" s="1"/>
  <c r="J87" i="6" s="1"/>
  <c r="I88" i="6" s="1"/>
  <c r="J88" i="6" s="1"/>
  <c r="I89" i="6" s="1"/>
  <c r="J89" i="6" s="1"/>
  <c r="I90" i="6" s="1"/>
  <c r="J90" i="6" s="1"/>
  <c r="I91" i="6" s="1"/>
  <c r="J91" i="6" s="1"/>
  <c r="I92" i="6" s="1"/>
  <c r="J92" i="6" s="1"/>
  <c r="I93" i="6" s="1"/>
  <c r="J93" i="6" s="1"/>
  <c r="I94" i="6" s="1"/>
  <c r="J94" i="6" s="1"/>
  <c r="I95" i="6" s="1"/>
  <c r="J95" i="6" s="1"/>
  <c r="I96" i="6" s="1"/>
  <c r="J96" i="6" s="1"/>
  <c r="I97" i="6" s="1"/>
  <c r="J97" i="6" s="1"/>
  <c r="I98" i="6" s="1"/>
  <c r="J98" i="6" s="1"/>
  <c r="I99" i="6" s="1"/>
  <c r="J99" i="6" s="1"/>
  <c r="I100" i="6" s="1"/>
  <c r="J100" i="6" s="1"/>
  <c r="I101" i="6" s="1"/>
  <c r="J101" i="6" s="1"/>
  <c r="I33" i="14" l="1"/>
  <c r="J33" i="14" s="1"/>
  <c r="I34" i="14" s="1"/>
  <c r="J34" i="14" s="1"/>
  <c r="I35" i="14" s="1"/>
  <c r="J35" i="14" s="1"/>
  <c r="I36" i="14" s="1"/>
  <c r="J36" i="14" s="1"/>
  <c r="I37" i="14" s="1"/>
  <c r="J37" i="14" s="1"/>
  <c r="I38" i="14" s="1"/>
  <c r="J38" i="14" s="1"/>
  <c r="I39" i="14" s="1"/>
  <c r="J39" i="14" s="1"/>
  <c r="I40" i="14" s="1"/>
  <c r="J40" i="14" s="1"/>
  <c r="I41" i="14" s="1"/>
  <c r="J41" i="14" s="1"/>
  <c r="I42" i="14" s="1"/>
  <c r="J42" i="14" s="1"/>
  <c r="I43" i="14" s="1"/>
  <c r="J43" i="14" s="1"/>
  <c r="I44" i="14" s="1"/>
  <c r="J44" i="14" s="1"/>
  <c r="I45" i="14" s="1"/>
  <c r="J45" i="14" s="1"/>
  <c r="I46" i="14" s="1"/>
  <c r="J46" i="14" s="1"/>
  <c r="I47" i="14" s="1"/>
  <c r="J47" i="14" s="1"/>
  <c r="I48" i="14" s="1"/>
  <c r="J48" i="14" s="1"/>
  <c r="I49" i="14" s="1"/>
  <c r="J49" i="14" s="1"/>
  <c r="I50" i="14" s="1"/>
  <c r="J50" i="14" s="1"/>
  <c r="I51" i="14" s="1"/>
  <c r="J51" i="14" s="1"/>
  <c r="I52" i="14" s="1"/>
  <c r="J52" i="14" s="1"/>
  <c r="I53" i="14" s="1"/>
  <c r="J53" i="14" s="1"/>
  <c r="I54" i="14" s="1"/>
  <c r="J54" i="14" s="1"/>
  <c r="I55" i="14" s="1"/>
  <c r="J55" i="14" s="1"/>
  <c r="I56" i="14" s="1"/>
  <c r="J56" i="14" s="1"/>
  <c r="I57" i="14" s="1"/>
  <c r="J57" i="14" s="1"/>
  <c r="I58" i="14" s="1"/>
  <c r="J58" i="14" s="1"/>
  <c r="I32" i="14"/>
  <c r="J32" i="14" s="1"/>
  <c r="I34" i="2"/>
  <c r="J34" i="2" s="1"/>
  <c r="I35" i="2" s="1"/>
  <c r="J35" i="2" s="1"/>
  <c r="I36" i="2" s="1"/>
  <c r="J36" i="2" s="1"/>
  <c r="I37" i="2" s="1"/>
  <c r="J37" i="2" s="1"/>
  <c r="I38" i="2" s="1"/>
  <c r="J38" i="2" s="1"/>
  <c r="I39" i="2" s="1"/>
  <c r="J39" i="2" s="1"/>
  <c r="I40" i="2" s="1"/>
  <c r="J40" i="2" s="1"/>
  <c r="I41" i="2" s="1"/>
  <c r="J41" i="2" s="1"/>
  <c r="I52" i="2" s="1"/>
  <c r="J52" i="2" s="1"/>
  <c r="I42" i="2"/>
  <c r="J42" i="2" s="1"/>
  <c r="I60" i="14" l="1"/>
  <c r="J60" i="14" s="1"/>
  <c r="I59" i="14"/>
  <c r="J59" i="14" s="1"/>
  <c r="I48" i="2"/>
  <c r="J48" i="2" s="1"/>
  <c r="I43" i="2"/>
  <c r="J43" i="2" s="1"/>
  <c r="I44" i="2"/>
  <c r="J44" i="2" s="1"/>
  <c r="I45" i="2"/>
  <c r="J45" i="2" s="1"/>
  <c r="I50" i="2" s="1"/>
  <c r="J50" i="2" s="1"/>
  <c r="I49" i="2"/>
  <c r="J49" i="2" s="1"/>
  <c r="I47" i="2"/>
  <c r="J47" i="2" s="1"/>
  <c r="I54" i="2" s="1"/>
  <c r="J54" i="2" s="1"/>
  <c r="I55" i="2" s="1"/>
  <c r="J55" i="2" s="1"/>
  <c r="I56" i="2" s="1"/>
  <c r="J56" i="2" s="1"/>
  <c r="I57" i="2" s="1"/>
  <c r="J57" i="2" s="1"/>
  <c r="I58" i="2" s="1"/>
  <c r="J58" i="2" s="1"/>
  <c r="I59" i="2" s="1"/>
  <c r="J59" i="2" s="1"/>
  <c r="I60" i="2" s="1"/>
  <c r="J60" i="2" s="1"/>
  <c r="I61" i="2" s="1"/>
  <c r="J61" i="2" s="1"/>
  <c r="I62" i="2" s="1"/>
  <c r="J62" i="2" s="1"/>
  <c r="I63" i="2" s="1"/>
  <c r="J63" i="2" s="1"/>
  <c r="I65" i="2" s="1"/>
  <c r="J65" i="2" s="1"/>
  <c r="I66" i="2" s="1"/>
  <c r="J66" i="2" s="1"/>
  <c r="I68" i="2" s="1"/>
  <c r="J68" i="2" s="1"/>
  <c r="I69" i="2" s="1"/>
  <c r="J69" i="2" s="1"/>
  <c r="I70" i="2" s="1"/>
  <c r="J70" i="2" s="1"/>
  <c r="I71" i="2" s="1"/>
  <c r="J71" i="2" s="1"/>
  <c r="I72" i="2" s="1"/>
  <c r="J72" i="2" s="1"/>
  <c r="I73" i="2" s="1"/>
  <c r="J73" i="2" s="1"/>
  <c r="J74" i="2" s="1"/>
  <c r="I46" i="2"/>
  <c r="J46" i="2" s="1"/>
  <c r="I62" i="14" l="1"/>
  <c r="J62" i="14" s="1"/>
  <c r="I61" i="14"/>
  <c r="J61" i="14" s="1"/>
  <c r="I75" i="2"/>
  <c r="J75" i="2" s="1"/>
  <c r="I76" i="2" s="1"/>
  <c r="J76" i="2" s="1"/>
  <c r="I77" i="2" s="1"/>
  <c r="J77" i="2" s="1"/>
  <c r="I78" i="2" s="1"/>
  <c r="J78" i="2" s="1"/>
  <c r="I79" i="2" s="1"/>
  <c r="J79" i="2" s="1"/>
  <c r="I25" i="6" s="1"/>
  <c r="J25" i="6" s="1"/>
  <c r="I27" i="6"/>
  <c r="J27" i="6" s="1"/>
  <c r="I28" i="6" s="1"/>
  <c r="J28" i="6" s="1"/>
  <c r="I51" i="2"/>
  <c r="J51" i="2" s="1"/>
  <c r="I24" i="6"/>
  <c r="J24" i="6" s="1"/>
  <c r="I26" i="6"/>
  <c r="J26" i="6" s="1"/>
  <c r="J29" i="6"/>
  <c r="I30" i="6" s="1"/>
  <c r="J30" i="6" s="1"/>
  <c r="I31" i="6" s="1"/>
  <c r="J31" i="6" s="1"/>
  <c r="I32" i="6" s="1"/>
  <c r="J32" i="6" l="1"/>
  <c r="I33" i="6" s="1"/>
  <c r="J33" i="6" s="1"/>
  <c r="I34" i="6" s="1"/>
  <c r="J34" i="6" s="1"/>
  <c r="I35" i="6" s="1"/>
  <c r="J35" i="6" s="1"/>
  <c r="I36" i="6" s="1"/>
  <c r="J36" i="6" s="1"/>
  <c r="I37" i="6" s="1"/>
  <c r="J37" i="6" s="1"/>
  <c r="I38" i="6" s="1"/>
  <c r="J38" i="6" s="1"/>
  <c r="I39" i="6" s="1"/>
  <c r="J39" i="6" s="1"/>
  <c r="I40" i="6" s="1"/>
  <c r="J40" i="6" s="1"/>
  <c r="I41" i="6" s="1"/>
  <c r="J41" i="6" s="1"/>
  <c r="I42" i="6" s="1"/>
  <c r="J42" i="6" s="1"/>
  <c r="I43" i="6" s="1"/>
  <c r="J43" i="6" s="1"/>
  <c r="I44" i="6" s="1"/>
  <c r="J44" i="6" s="1"/>
  <c r="I45" i="6" s="1"/>
  <c r="J45" i="6" s="1"/>
  <c r="I46" i="6" s="1"/>
  <c r="J46" i="6" s="1"/>
  <c r="I47" i="6" l="1"/>
  <c r="J47" i="6" s="1"/>
  <c r="I48" i="6" l="1"/>
  <c r="J48" i="6" s="1"/>
  <c r="I49" i="6" s="1"/>
  <c r="J49" i="6" s="1"/>
  <c r="I50" i="6" s="1"/>
  <c r="J50" i="6" s="1"/>
  <c r="I51" i="6" s="1"/>
  <c r="J51" i="6" s="1"/>
  <c r="I52" i="6" s="1"/>
  <c r="J52" i="6" s="1"/>
  <c r="I53" i="6" s="1"/>
  <c r="J53" i="6" s="1"/>
</calcChain>
</file>

<file path=xl/comments1.xml><?xml version="1.0" encoding="utf-8"?>
<comments xmlns="http://schemas.openxmlformats.org/spreadsheetml/2006/main">
  <authors>
    <author>bedup</author>
  </authors>
  <commentList>
    <comment ref="K1" authorId="0" shapeId="0">
      <text>
        <r>
          <rPr>
            <b/>
            <sz val="9"/>
            <color indexed="81"/>
            <rFont val="Tahoma"/>
            <family val="2"/>
          </rPr>
          <t>A alimenter que pour les flux non prioritaires</t>
        </r>
      </text>
    </comment>
  </commentList>
</comments>
</file>

<file path=xl/sharedStrings.xml><?xml version="1.0" encoding="utf-8"?>
<sst xmlns="http://schemas.openxmlformats.org/spreadsheetml/2006/main" count="3027" uniqueCount="1117">
  <si>
    <t>TASK ID</t>
  </si>
  <si>
    <t>ACTIVITY</t>
  </si>
  <si>
    <t>Resp.
dept.</t>
  </si>
  <si>
    <t xml:space="preserve">ACTOR </t>
  </si>
  <si>
    <t>Status</t>
  </si>
  <si>
    <t>Duration</t>
  </si>
  <si>
    <t>Planned Start</t>
  </si>
  <si>
    <t>Planned End</t>
  </si>
  <si>
    <t>Dependency</t>
  </si>
  <si>
    <t>Comments</t>
  </si>
  <si>
    <t>Passed</t>
  </si>
  <si>
    <t>Preparation Online</t>
  </si>
  <si>
    <t>Upgrade Online</t>
  </si>
  <si>
    <t>Upgrade Downtime</t>
  </si>
  <si>
    <t>Vérifications Paramètres Oracle (dont shared_pool_size)</t>
  </si>
  <si>
    <t>Statistiques Oracle</t>
  </si>
  <si>
    <t>Vérification des tables cluster</t>
  </si>
  <si>
    <t>/ASU/UPGRADE</t>
  </si>
  <si>
    <t>Sauvegarde BDD [?]</t>
  </si>
  <si>
    <t>Augmentation Tablespace PSAPTEMP</t>
  </si>
  <si>
    <t>Augmentation et Création Tablespaces Upgrade</t>
  </si>
  <si>
    <t>Vérification Utilisation Client Oracle 11</t>
  </si>
  <si>
    <t>Contrôle Taille RedoLog</t>
  </si>
  <si>
    <t>SE14  -&gt; ordre de DB  -&gt; Traitement en masse</t>
  </si>
  <si>
    <t>Contrôle TATGPC et TATGPCA (vides)</t>
  </si>
  <si>
    <t>SP12 : Supprimer les inconsistances de la TEMSE</t>
  </si>
  <si>
    <t>SM13 : Supprimer les updates en erreur</t>
  </si>
  <si>
    <t>DB02 : Comparer SAP DDIC et Oracle DDIC</t>
  </si>
  <si>
    <t>CGI</t>
  </si>
  <si>
    <t>David</t>
  </si>
  <si>
    <t>Emmanuel</t>
  </si>
  <si>
    <t>SUM - Initialisation</t>
  </si>
  <si>
    <t>SUM - Extraction</t>
  </si>
  <si>
    <t>PREP_EXTRACT (Extraction)</t>
  </si>
  <si>
    <t>PREP_PRE_CHECK (Checks the system status)</t>
  </si>
  <si>
    <t>PREP_INPUT_CHECK (Parameter input)</t>
  </si>
  <si>
    <t>PREP_INIT (Initialization)</t>
  </si>
  <si>
    <t>PREP_IMPORT (Import)</t>
  </si>
  <si>
    <t>PREP_PARSETUP (Setup parameters for tool)</t>
  </si>
  <si>
    <t>RSECSSFS</t>
  </si>
  <si>
    <t>Backup des Wage Types</t>
  </si>
  <si>
    <t>Vérifier la table COKEY2</t>
  </si>
  <si>
    <t>SUM - Configuration</t>
  </si>
  <si>
    <t>PREP_CONFIGURATION (Configuration and language selection)</t>
  </si>
  <si>
    <t>PREP_SETUP (Setup control data)</t>
  </si>
  <si>
    <t>PREP_EXTENSION (Extension module)</t>
  </si>
  <si>
    <t>PREP_INTEGRATION (Integration)</t>
  </si>
  <si>
    <t>SUM - Checks</t>
  </si>
  <si>
    <t>PREP_SPACECALC (Space calculations)</t>
  </si>
  <si>
    <t>PREP_GENCHECKS (General checks)</t>
  </si>
  <si>
    <t>PREP_PREPROC (Preliminary upgrade processing)</t>
  </si>
  <si>
    <t>Renumérotation SPROXXSL et SPROXXSL~</t>
  </si>
  <si>
    <t>SUM - Preprocessing</t>
  </si>
  <si>
    <t>MAIN_INIT (Configuration and Initialization)</t>
  </si>
  <si>
    <t>MAIN_SHDCRE (Import and Modification Transfer)</t>
  </si>
  <si>
    <t>MAIN_SHDINST (Shadow System Installation)</t>
  </si>
  <si>
    <t>MAIN_SHDPREPUT (Shadow System Operations: Preput)</t>
  </si>
  <si>
    <t>MAIN_SHDIMP (Shadow Import)</t>
  </si>
  <si>
    <t>MAIN_DTTRANS (Transition to Downtime for Downtime-minimized)</t>
  </si>
  <si>
    <t>La taille ne sera pas modifiée. Stratégie brconnect privlégiée : il s'agit de déplacer les logs qui ont atteint leur taille max immédiatement sur un autre serveur pour ne pas saturer le dossier /oracle/orarch</t>
  </si>
  <si>
    <t>SUM - Execution (Downtime)</t>
  </si>
  <si>
    <t>MAIN_SWITCH (Downtime I: Switch tables and Kernel)</t>
  </si>
  <si>
    <t>MAIN_NEWBAS (Downtime II: Conversion, Main Import, XPRAs)</t>
  </si>
  <si>
    <t>MAIN_UPTRANS (Transition to uptime)</t>
  </si>
  <si>
    <t>SUM -  Postprocessing</t>
  </si>
  <si>
    <t>MAIN_POSTPROC (Post Processing)</t>
  </si>
  <si>
    <t>MAIN_POSTCLEAN (Final cleanup)</t>
  </si>
  <si>
    <t>Post-Opérations</t>
  </si>
  <si>
    <t xml:space="preserve">Import des Ots Hercules (un par un)
</t>
  </si>
  <si>
    <t>Les tables sont vides</t>
  </si>
  <si>
    <t>Lancement des statistiques Oracle</t>
  </si>
  <si>
    <t>Lancement du report RPUMKG00</t>
  </si>
  <si>
    <t xml:space="preserve">Lancement du report SMIGR_CREATE_DDL </t>
  </si>
  <si>
    <t>Recharger les Wage Types</t>
  </si>
  <si>
    <t>Unicode dans les programmes générés</t>
  </si>
  <si>
    <t>SE14 - Suppression des tables temporaires invalides</t>
  </si>
  <si>
    <t>SPUMG - #1</t>
  </si>
  <si>
    <t>Vider les tables DDNTF_CONV_UC et DDNTT_CONV_UC</t>
  </si>
  <si>
    <t>SPUMG - #2 - Création Unicode Nametabs</t>
  </si>
  <si>
    <t>SPUMG - #3 - Additional Downtime Steps</t>
  </si>
  <si>
    <t>Sauvegarde des log de Jobs ABAP</t>
  </si>
  <si>
    <t>Vérifier shmmax</t>
  </si>
  <si>
    <t>Preparation Unicode</t>
  </si>
  <si>
    <t>Export - Import</t>
  </si>
  <si>
    <t>Configuration du SAP Distribution Monitor</t>
  </si>
  <si>
    <t>Scripts d’environnement pour export et import</t>
  </si>
  <si>
    <t>Paramétrage distribution_monitor_cmd.properties</t>
  </si>
  <si>
    <t>Paramétrage package_splitter_cmd.properties</t>
  </si>
  <si>
    <t>Paramétrage package_splitter_tables.txt</t>
  </si>
  <si>
    <t>Paramétrage table_splitter_tables.txt</t>
  </si>
  <si>
    <t>Configuration base Oracle source</t>
  </si>
  <si>
    <t>Lancement des opérations d’export</t>
  </si>
  <si>
    <t>Mise en place de distribution monitor</t>
  </si>
  <si>
    <t>Prepare</t>
  </si>
  <si>
    <t>Distribution Monitor Export</t>
  </si>
  <si>
    <t>Suppression du système Non Unicode</t>
  </si>
  <si>
    <t>Lancement des opérations d’import</t>
  </si>
  <si>
    <t>SAPInst : Installation de l'ASCS</t>
  </si>
  <si>
    <t>SAPInst : Installation de la BDD et Import</t>
  </si>
  <si>
    <t>Installation de la BDD</t>
  </si>
  <si>
    <t>Configuration Oracle</t>
  </si>
  <si>
    <t>Distribution Monitor Import</t>
  </si>
  <si>
    <t>SAPInst : Installation de la BDD : Fin</t>
  </si>
  <si>
    <t>SAPInst : Installation PAS</t>
  </si>
  <si>
    <t>Import</t>
  </si>
  <si>
    <t>Post-Upgrade</t>
  </si>
  <si>
    <t>SM28 - Consistency Check</t>
  </si>
  <si>
    <t>SMLT - Langues : RSTLAN_AFTER_UPGRADE</t>
  </si>
  <si>
    <t>SMLT - Langues : Supplémentation Intermandant</t>
  </si>
  <si>
    <t>SMLT - Langues : Supplémentation Mandant Ref</t>
  </si>
  <si>
    <t>MAJ Profils d'instance</t>
  </si>
  <si>
    <t>Vidage des tables MONI etc</t>
  </si>
  <si>
    <t>Restauration des logs de jobs</t>
  </si>
  <si>
    <t>RZ04 : Mode exploitation</t>
  </si>
  <si>
    <t>Finalisation de la conversion Unicode</t>
  </si>
  <si>
    <t>Gestion des tables TLOCK*</t>
  </si>
  <si>
    <t>MAJ RFC</t>
  </si>
  <si>
    <t>Mise au standard AirFrance</t>
  </si>
  <si>
    <t>Passage en autoextend off sur les datafiles</t>
  </si>
  <si>
    <t>Ouvrir l’accès gateway</t>
  </si>
  <si>
    <t>Post opérations</t>
  </si>
  <si>
    <t>Export</t>
  </si>
  <si>
    <t>Fait mais 0 ligne affectée pour chaque requête SQL - A repasser si l'erreur associée se produit.</t>
  </si>
  <si>
    <t>Un problème lié au message server qui ne démarrait plus du tout à retarder cette phase.
Un reboot du serveur était necessaire.</t>
  </si>
  <si>
    <t>Importer les Ots OPENHR</t>
  </si>
  <si>
    <t>Un problème de privilège s'est produit avant l'exécution de brconnect. La commande pour résoudre est indiquée dans le CR</t>
  </si>
  <si>
    <t>Pierre</t>
  </si>
  <si>
    <t>Lancer le RTCCTOOL</t>
  </si>
  <si>
    <t>Déverouiller les Jobs standards</t>
  </si>
  <si>
    <t>Sauvegarde SUM + Fichiers de profile + variables d'environnement .dbenv et .sapenv</t>
  </si>
  <si>
    <t>Declustering</t>
  </si>
  <si>
    <t>Mise à jour des paramètres Oracles</t>
  </si>
  <si>
    <t>Chapitre 1</t>
  </si>
  <si>
    <t>Upgrade détail dans onglet 02- Upgrade</t>
  </si>
  <si>
    <t>Export - Import - Détail dans onglet 03 - Export - Import</t>
  </si>
  <si>
    <r>
      <t xml:space="preserve">Problème d'import de l'OT </t>
    </r>
    <r>
      <rPr>
        <b/>
        <sz val="10"/>
        <color indexed="18"/>
        <rFont val="Arial"/>
        <family val="2"/>
      </rPr>
      <t>DVHK960015</t>
    </r>
    <r>
      <rPr>
        <sz val="10"/>
        <color indexed="18"/>
        <rFont val="Arial"/>
        <family val="2"/>
      </rPr>
      <t xml:space="preserve">   BC - UPG - OSS 2021095 - CUSTOMER MODIFICATION
Contient et des données et du dev.
Voir avec Emmanuel sur split d'OT ou repassager de celui-ci.
Identifier quand repasser l'OT</t>
    </r>
  </si>
  <si>
    <t>Préparation</t>
  </si>
  <si>
    <t>Vérification des ordres passés (OT SPDD et Hercule)</t>
  </si>
  <si>
    <t>Vérifier l'existence des groupes de fonction ZFOR_WORKFLOWS et ZGRH_CCNTA
( Deux entrées manquantes en TLIBG)</t>
  </si>
  <si>
    <t>Données Infotype 9*** manquantes
Lancer le programme RPUMS40CCI</t>
  </si>
  <si>
    <t>Mise à jour des IBAN</t>
  </si>
  <si>
    <t>Mise à jout du cluster TE - transport OT</t>
  </si>
  <si>
    <t>Création des Ots de sauvegarde des données Hercule (custo + HRP1601)</t>
  </si>
  <si>
    <t>Vérifier les Objets Open HR Manquant</t>
  </si>
  <si>
    <t>Vérifier le transports des Ots : 
DVMK900236 - P-UPECCHR-FD905513-Recuperation Objets OpenHR-02 (code 8 atendu)
DVMK900241 - P-UPECCHR-FD905513-Recuperation Objets OpenHR-03</t>
  </si>
  <si>
    <t>Mise à jout du cluster TE - Maj + vérif</t>
  </si>
  <si>
    <t>Tranche de numéro PS</t>
  </si>
  <si>
    <t>Tranche de numéro de PNC</t>
  </si>
  <si>
    <t xml:space="preserve">- Vérifier l'affichage "Excel intégré" de la transaction ZLIST_RRH (action CCSAP ?). 
- Si erreur, checker la présence des templates Excel via le report BCALV_BDS_MAINTENANCE (cf. note 1771260) (action CCSAP ?) 
- Si templates présent les supprimer report BCALV_BDS_MAINTENANCE (cf. note 1937247) et revérifier la ZLIST_RRH (action CCSAP ?) 
- Si templates absent ou que le check précédent est KO -&gt; Step 4 de la note 1937247 (action DI.VB.SA sur mandant 000). 
=&gt; voir FDS918666
</t>
  </si>
  <si>
    <t>Cancel de tous les flux en attente (en TO BEGIN)</t>
  </si>
  <si>
    <t>Marc Amaury SALMON</t>
  </si>
  <si>
    <t>Arrêt des flux (vers lh-pprh01-ci) avant l'arrêt de la machine SAP</t>
  </si>
  <si>
    <t>AOS flux</t>
  </si>
  <si>
    <t>Post-processing frontend</t>
  </si>
  <si>
    <t>Connexion UME en mode Load Balancing sur le nouveau PRH</t>
  </si>
  <si>
    <t>DI.VB</t>
  </si>
  <si>
    <t>A venir</t>
  </si>
  <si>
    <t>Mise en exploitation du nouveau portail sur le CCMS</t>
  </si>
  <si>
    <t>Configuration SSO entre le backend et le frontend</t>
  </si>
  <si>
    <t>Validation des destinations JCO WD_MODELDATA_XSS &amp; WD_RFC_METADATA_XSS</t>
  </si>
  <si>
    <t>Validation du nouveau loginmodule HeaderVariableLoginModule</t>
  </si>
  <si>
    <t>Validation de la RFC "SAP_R3_HRJcoConnection"</t>
  </si>
  <si>
    <t>Migration configuration Cluster</t>
  </si>
  <si>
    <t>Tests de bascule</t>
  </si>
  <si>
    <t>Recyclage des Traitements (BTCI et Les ALE)</t>
  </si>
  <si>
    <t>Machine bis pour parallélisation des opérations d'export / Import.</t>
  </si>
  <si>
    <t>Fin opération back end</t>
  </si>
  <si>
    <t>Julien</t>
  </si>
  <si>
    <t>Ouverture 24/24 des locaux Valbonne</t>
  </si>
  <si>
    <t>CC SAP</t>
  </si>
  <si>
    <t>Vérif présence /transfertinformatica FS + taille</t>
  </si>
  <si>
    <t>JBE</t>
  </si>
  <si>
    <t>Vérif user : infa + password</t>
  </si>
  <si>
    <t>Vérif SAP : SAPPC + password</t>
  </si>
  <si>
    <t>Préparation autres</t>
  </si>
  <si>
    <t>DI.NR / AMO</t>
  </si>
  <si>
    <t>Communication indisponibilité eRH + backend</t>
  </si>
  <si>
    <t>Demande de mise en priorité 0 des jobs à partir de l'heure de la coupure</t>
  </si>
  <si>
    <t>DI.NR</t>
  </si>
  <si>
    <t>Mise en priorité 0 des jobs à partir de l'heure de la coupure</t>
  </si>
  <si>
    <t>AOS</t>
  </si>
  <si>
    <t>Rappel de communication indisponibilité eRH + backend</t>
  </si>
  <si>
    <t>AMO</t>
  </si>
  <si>
    <t>Suspension des jobs SAP</t>
  </si>
  <si>
    <t>Blocage des utilisateurs MAESTRO et *ALE</t>
  </si>
  <si>
    <t>SAP Portail - Vérification/ajustement du system backend</t>
  </si>
  <si>
    <t>SAP Portail - Vérification/ajustement des JCO à destination du backend</t>
  </si>
  <si>
    <t>CC SAP / DI.VB</t>
  </si>
  <si>
    <t>SAP - Check/modif HTTPURLLOC, RSPOR_T_PORTAL</t>
  </si>
  <si>
    <t xml:space="preserve">RFC - LSO_LEARNING, check RFC SAP_LSO_BACKEND </t>
  </si>
  <si>
    <t>SAP - Vérif du service SMTP</t>
  </si>
  <si>
    <t>SBT - Check appel SBT, mise à jour du SOAREPO à affiner</t>
  </si>
  <si>
    <t>JBE / GKE ?</t>
  </si>
  <si>
    <t>ERH</t>
  </si>
  <si>
    <t>Vérification d'affichage "tous écrans"</t>
  </si>
  <si>
    <t>GTA</t>
  </si>
  <si>
    <t>TRAVEL</t>
  </si>
  <si>
    <t>PRATIS</t>
  </si>
  <si>
    <t>GO / NoGo sur lancement de l'upgrade</t>
  </si>
  <si>
    <t>GO définitif du lancement de l'opération d'Upgrade</t>
  </si>
  <si>
    <t>Vérifications techniques post upgrade</t>
  </si>
  <si>
    <t>AOS Flux</t>
  </si>
  <si>
    <t>SAP - Vérif du service SMTP, revaloriser le user "MAIL_SERVER" puis réactiver</t>
  </si>
  <si>
    <t>CCSAP</t>
  </si>
  <si>
    <t>Anonymisation Service BSP Pratis</t>
  </si>
  <si>
    <t>Configuration Ports Logiques Webservices MATIS SOAMANAGER suivre doc Cao</t>
  </si>
  <si>
    <t>Installation et configuration Loginmodule CA Siteminder SSO for SAP Web AS</t>
  </si>
  <si>
    <t>Création de la RFC "SAP_R3_HumanResources$WebFlowConnector"</t>
  </si>
  <si>
    <t>Import des epa (Portal Content)</t>
  </si>
  <si>
    <t>Configuration UWL</t>
  </si>
  <si>
    <t>Import des fichiers de config xml la worklist</t>
  </si>
  <si>
    <t>Installation/configuration/vérification ADS</t>
  </si>
  <si>
    <t xml:space="preserve">Vérification paramètre instance J2EE sap.max.session.limit à -1 </t>
  </si>
  <si>
    <t>Création Système Backend PRATIS (type HTTP) pour alias URL_PRATIS</t>
  </si>
  <si>
    <t>Valorisation des règles d'affichage du portail (Theme AF / Theme standard pour user emergency)</t>
  </si>
  <si>
    <t>Check paramètre login SSO ume.logon_force_password_change_on_sso</t>
  </si>
  <si>
    <t>Application note 1753749 - Cannot clear ICM server cache</t>
  </si>
  <si>
    <t>Transport EPAs</t>
  </si>
  <si>
    <t>Mapping Manager Transverse avec les 6 RC*MSS* (pour délégation UWL)</t>
  </si>
  <si>
    <t>Ticket 372 : Interdire Personnalisation sur les Applis Webdynpro</t>
  </si>
  <si>
    <t>Prévenir l'équipe NewTest de l'indisponibilité des environnements</t>
  </si>
  <si>
    <t>N/A</t>
  </si>
  <si>
    <t>P-UPECCHR-MOVE4HR-SPAU-02</t>
  </si>
  <si>
    <t>P-UPECCHR-MOVE4HR-Upgrade parametrage-01</t>
  </si>
  <si>
    <t>P-UPECCHR-MOVE4HR-SPAU-03</t>
  </si>
  <si>
    <t>DVHK960032</t>
  </si>
  <si>
    <t>DVHK960220</t>
  </si>
  <si>
    <t>DVHK960105</t>
  </si>
  <si>
    <t>DVHK960036</t>
  </si>
  <si>
    <t>DVHK960222</t>
  </si>
  <si>
    <t>code 8 attendu</t>
  </si>
  <si>
    <t>P-UPECCHR-MOVE4HR-SPAU-01</t>
  </si>
  <si>
    <t>P-UPECCHR-MOVE4HR-Corrections Panaya-01</t>
  </si>
  <si>
    <t>DVHK960206</t>
  </si>
  <si>
    <t>DVHK960136</t>
  </si>
  <si>
    <t>DVHK960144</t>
  </si>
  <si>
    <t>DVHK960200</t>
  </si>
  <si>
    <t>DVHK960202</t>
  </si>
  <si>
    <t>DVHK960208</t>
  </si>
  <si>
    <t>DVHK960146</t>
  </si>
  <si>
    <t>DVHK960140</t>
  </si>
  <si>
    <t>DVHK960148</t>
  </si>
  <si>
    <t>DVHK960150</t>
  </si>
  <si>
    <t>DVHK960164</t>
  </si>
  <si>
    <t>DVHK960152</t>
  </si>
  <si>
    <t>DVHK960160</t>
  </si>
  <si>
    <t>DVHK960196</t>
  </si>
  <si>
    <t>DVHK960172</t>
  </si>
  <si>
    <t>DVHK960156</t>
  </si>
  <si>
    <t>DVHK960166</t>
  </si>
  <si>
    <t>DVHK960154</t>
  </si>
  <si>
    <t>DVHK960210</t>
  </si>
  <si>
    <t>DVHK960168</t>
  </si>
  <si>
    <t>DVHK960162</t>
  </si>
  <si>
    <t>DVHK960158</t>
  </si>
  <si>
    <t>DVHK960213</t>
  </si>
  <si>
    <t>DVHK960170</t>
  </si>
  <si>
    <t>DVHK960204</t>
  </si>
  <si>
    <t>DVHK960230</t>
  </si>
  <si>
    <t>Liste 1 - SPAU + 
1° report de maintenance</t>
  </si>
  <si>
    <t>DVHK960228</t>
  </si>
  <si>
    <t>DVHK960232</t>
  </si>
  <si>
    <t>P-UPECCHR-MOVE4HR-ZTV_MAJ_CLUSTER_TE-02</t>
  </si>
  <si>
    <t>Liste 2 - MAJ cluster TE</t>
  </si>
  <si>
    <t>P-UPECCHR-MOVE4HR-ZTV_EXTRACT_CLUSTER_TE-01</t>
  </si>
  <si>
    <t>DVHK960239</t>
  </si>
  <si>
    <t>P-UPECCHR-MOVE4HR-ZTV_EXTRACT_CLUSTER_TE-02</t>
  </si>
  <si>
    <t>DVHK960285</t>
  </si>
  <si>
    <t>T367844</t>
  </si>
  <si>
    <t>P-UPECCHR-MOVE4HR-ZTV_EXTRACT_CLUSTER_TE-03</t>
  </si>
  <si>
    <t>DVHK960305</t>
  </si>
  <si>
    <t>P-UPECCHR-MOVE4HR-ZTV_EXTRACT_CLUSTER_TE-04</t>
  </si>
  <si>
    <t>P-UPECCHR-MOVE4HR-ZTV_MAJ_CLUSTER_TE-01</t>
  </si>
  <si>
    <t>SPAU + 1° report de maintenance</t>
  </si>
  <si>
    <t>DVHK960257</t>
  </si>
  <si>
    <t>DVHK960253</t>
  </si>
  <si>
    <t>DVHK960259</t>
  </si>
  <si>
    <t>DVHK960271</t>
  </si>
  <si>
    <t>DVHK960127</t>
  </si>
  <si>
    <t>DVHK960261</t>
  </si>
  <si>
    <t>DVHK960245</t>
  </si>
  <si>
    <t>DVHK960249</t>
  </si>
  <si>
    <t>DVHK960251</t>
  </si>
  <si>
    <t>DVHK960255</t>
  </si>
  <si>
    <t>DVHK960247</t>
  </si>
  <si>
    <t>DVHK960263</t>
  </si>
  <si>
    <t>DVHK960237</t>
  </si>
  <si>
    <t>DVHK960142</t>
  </si>
  <si>
    <t>DVHK960235</t>
  </si>
  <si>
    <t>DVHK960130</t>
  </si>
  <si>
    <t>DVHK960180</t>
  </si>
  <si>
    <t>DVHK960182</t>
  </si>
  <si>
    <t>DVHK960184</t>
  </si>
  <si>
    <t>DVHK960186</t>
  </si>
  <si>
    <t>DVHK960188</t>
  </si>
  <si>
    <t>DVHK960190</t>
  </si>
  <si>
    <t>DVHK960192</t>
  </si>
  <si>
    <t xml:space="preserve">DVHK960125 </t>
  </si>
  <si>
    <r>
      <t xml:space="preserve">Liste d'Ots à transporter
</t>
    </r>
    <r>
      <rPr>
        <b/>
        <sz val="10"/>
        <color indexed="18"/>
        <rFont val="Arial"/>
        <family val="2"/>
      </rPr>
      <t xml:space="preserve">Liste 3
</t>
    </r>
    <r>
      <rPr>
        <sz val="10"/>
        <color indexed="18"/>
        <rFont val="Arial"/>
        <family val="2"/>
      </rPr>
      <t xml:space="preserve">Attention le transport du DVHK960125 est très long - Prévoir à transporter en arrière-plan. Voir à supprimer les logs plus tard
</t>
    </r>
  </si>
  <si>
    <t>DVHK960298</t>
  </si>
  <si>
    <t>DVHK960331</t>
  </si>
  <si>
    <t>DVHK960315</t>
  </si>
  <si>
    <t>DVHK960361</t>
  </si>
  <si>
    <t>DVHK960273</t>
  </si>
  <si>
    <t>DVHK960337</t>
  </si>
  <si>
    <t>DVHK960363</t>
  </si>
  <si>
    <t>DVHK960339</t>
  </si>
  <si>
    <t>DVHK960287</t>
  </si>
  <si>
    <t>DVHK960341</t>
  </si>
  <si>
    <t>DVHK960343</t>
  </si>
  <si>
    <t>DVHK960345</t>
  </si>
  <si>
    <t>DVHK960347</t>
  </si>
  <si>
    <t>DVHK960368</t>
  </si>
  <si>
    <t>DVHK960370</t>
  </si>
  <si>
    <t>DVHK960349</t>
  </si>
  <si>
    <t>DVHK960384</t>
  </si>
  <si>
    <t>DVHK960391</t>
  </si>
  <si>
    <t>DVHK960351</t>
  </si>
  <si>
    <t>DVHK960353</t>
  </si>
  <si>
    <t>DVHK960380</t>
  </si>
  <si>
    <t>DVHK960355</t>
  </si>
  <si>
    <t>DVHK960397</t>
  </si>
  <si>
    <t>DVHK960408</t>
  </si>
  <si>
    <t>DVHK960357</t>
  </si>
  <si>
    <t>Liste 3 - Autorisation + Defects +
2° report de maintenance</t>
  </si>
  <si>
    <t>Vérifier une traduction</t>
  </si>
  <si>
    <t>Liste 4</t>
  </si>
  <si>
    <t>DVHK960389</t>
  </si>
  <si>
    <t>DVHK960278</t>
  </si>
  <si>
    <t>DVHK960313</t>
  </si>
  <si>
    <t>DVHK960325</t>
  </si>
  <si>
    <t>DVHK960406</t>
  </si>
  <si>
    <t>DVHK960402</t>
  </si>
  <si>
    <t>DVHK960404</t>
  </si>
  <si>
    <t>DVHK960323</t>
  </si>
  <si>
    <t>DVHK960319</t>
  </si>
  <si>
    <t>DVHK960387</t>
  </si>
  <si>
    <t>DVHK960317</t>
  </si>
  <si>
    <t>DVHK960321</t>
  </si>
  <si>
    <t>DVHK960382</t>
  </si>
  <si>
    <t>DVHK960424</t>
  </si>
  <si>
    <t>DVHK960378</t>
  </si>
  <si>
    <t>DVHK960430</t>
  </si>
  <si>
    <t>DVHK960433</t>
  </si>
  <si>
    <t>DVHK960359</t>
  </si>
  <si>
    <t>DVHK960303</t>
  </si>
  <si>
    <t>DVHK960374</t>
  </si>
  <si>
    <t>DVHK960440</t>
  </si>
  <si>
    <t>DVHK960376</t>
  </si>
  <si>
    <t>DVHK960450</t>
  </si>
  <si>
    <t>DVHK960452</t>
  </si>
  <si>
    <t>DVHK960454</t>
  </si>
  <si>
    <t>DVHK960442</t>
  </si>
  <si>
    <t>DVHK960456</t>
  </si>
  <si>
    <t>DVHK960444</t>
  </si>
  <si>
    <t>DVHK960478</t>
  </si>
  <si>
    <t>DVHK960446</t>
  </si>
  <si>
    <t>DVHK960448</t>
  </si>
  <si>
    <t>DVHK960483</t>
  </si>
  <si>
    <t>DVHK960459</t>
  </si>
  <si>
    <t>DVHK960461</t>
  </si>
  <si>
    <t>DVHK960463</t>
  </si>
  <si>
    <t>DVHK960465</t>
  </si>
  <si>
    <t>DVHK960467</t>
  </si>
  <si>
    <t>DVHK960512</t>
  </si>
  <si>
    <t>Liste 5</t>
  </si>
  <si>
    <r>
      <t xml:space="preserve">Liste d'Ots à transporter
</t>
    </r>
    <r>
      <rPr>
        <b/>
        <sz val="10"/>
        <color indexed="18"/>
        <rFont val="Arial"/>
        <family val="2"/>
      </rPr>
      <t>Liste 4</t>
    </r>
    <r>
      <rPr>
        <sz val="10"/>
        <color indexed="18"/>
        <rFont val="Arial"/>
        <family val="2"/>
      </rPr>
      <t xml:space="preserve">
</t>
    </r>
  </si>
  <si>
    <t>Transport Ots</t>
  </si>
  <si>
    <t>Transport OTs Autorisation + Second report de maintenance + Defects</t>
  </si>
  <si>
    <t>DVHK960494</t>
  </si>
  <si>
    <t>DVHK960496</t>
  </si>
  <si>
    <t>DVHK960498</t>
  </si>
  <si>
    <t>DVHK960500</t>
  </si>
  <si>
    <t>DVHK960046</t>
  </si>
  <si>
    <t>DVHK960502</t>
  </si>
  <si>
    <t>DVHK960524</t>
  </si>
  <si>
    <t>DVHK960504</t>
  </si>
  <si>
    <t>DVHK960506</t>
  </si>
  <si>
    <t>DVHK960508</t>
  </si>
  <si>
    <t>DVHK960510</t>
  </si>
  <si>
    <t>DVHK960516</t>
  </si>
  <si>
    <t>DVHK960300</t>
  </si>
  <si>
    <t>DVHK960422</t>
  </si>
  <si>
    <t>DVHK960489</t>
  </si>
  <si>
    <t>DVHK960520</t>
  </si>
  <si>
    <t>DVHK960411</t>
  </si>
  <si>
    <t>DVHK960393</t>
  </si>
  <si>
    <t>DVHK960522</t>
  </si>
  <si>
    <t>DVHK960469</t>
  </si>
  <si>
    <t>DVHK960471</t>
  </si>
  <si>
    <t>DVHK960518</t>
  </si>
  <si>
    <t>DVHK960528</t>
  </si>
  <si>
    <t>DVHK960530</t>
  </si>
  <si>
    <t>DVHK960532</t>
  </si>
  <si>
    <t>DVHK960552</t>
  </si>
  <si>
    <t>DVHK960544</t>
  </si>
  <si>
    <t>DVHK960556</t>
  </si>
  <si>
    <t>DVHK960558</t>
  </si>
  <si>
    <t>DVHK960560</t>
  </si>
  <si>
    <t>DVHK960554</t>
  </si>
  <si>
    <t>DVHK960565</t>
  </si>
  <si>
    <t>DVHK960473</t>
  </si>
  <si>
    <t>DVHK960567</t>
  </si>
  <si>
    <t>DVHK960569</t>
  </si>
  <si>
    <t>DVHK960571</t>
  </si>
  <si>
    <t>DVHK960575</t>
  </si>
  <si>
    <t>DVHK960579</t>
  </si>
  <si>
    <t>DVHK960577</t>
  </si>
  <si>
    <t>DVHK960588</t>
  </si>
  <si>
    <t>DVHK960590</t>
  </si>
  <si>
    <t>DVHK960592</t>
  </si>
  <si>
    <t>DVHK960604</t>
  </si>
  <si>
    <t>DVHK960602</t>
  </si>
  <si>
    <r>
      <t xml:space="preserve">Liste d'Ots à transporter
</t>
    </r>
    <r>
      <rPr>
        <b/>
        <sz val="10"/>
        <color indexed="18"/>
        <rFont val="Arial"/>
        <family val="2"/>
      </rPr>
      <t>Liste 5</t>
    </r>
    <r>
      <rPr>
        <sz val="10"/>
        <color indexed="18"/>
        <rFont val="Arial"/>
        <family val="2"/>
      </rPr>
      <t xml:space="preserve">
</t>
    </r>
  </si>
  <si>
    <t>DVHK960594</t>
  </si>
  <si>
    <t>DVHK960475</t>
  </si>
  <si>
    <t>DVHK960573</t>
  </si>
  <si>
    <t>DVHK960586</t>
  </si>
  <si>
    <t>DVHK960626</t>
  </si>
  <si>
    <t>DVHK960608</t>
  </si>
  <si>
    <t>DVHK960610</t>
  </si>
  <si>
    <t>DVHK960614</t>
  </si>
  <si>
    <t>DVHK960616</t>
  </si>
  <si>
    <t>DVHK960618</t>
  </si>
  <si>
    <t>DVHK960583</t>
  </si>
  <si>
    <t>DVHK960620</t>
  </si>
  <si>
    <t>DVHK960622</t>
  </si>
  <si>
    <t>DVHK960624</t>
  </si>
  <si>
    <t>DVHK960596</t>
  </si>
  <si>
    <t>DVHK960633</t>
  </si>
  <si>
    <t>DVHK960631</t>
  </si>
  <si>
    <t>DVHK960635</t>
  </si>
  <si>
    <t>DVHK960637</t>
  </si>
  <si>
    <t>DVHK960639</t>
  </si>
  <si>
    <t>DVHK960606</t>
  </si>
  <si>
    <t>DVHK960641</t>
  </si>
  <si>
    <t>DVHK960598</t>
  </si>
  <si>
    <t>DVHK960659</t>
  </si>
  <si>
    <t>DVHK960600</t>
  </si>
  <si>
    <t>DVHK960643</t>
  </si>
  <si>
    <t>DVHK960685</t>
  </si>
  <si>
    <t>DVHK960581</t>
  </si>
  <si>
    <t>DVHK960663</t>
  </si>
  <si>
    <t>DVHK960667</t>
  </si>
  <si>
    <t>Liste 6</t>
  </si>
  <si>
    <t>DVHK960689</t>
  </si>
  <si>
    <t>DVHK960691</t>
  </si>
  <si>
    <t>DVHK960676</t>
  </si>
  <si>
    <t>DVHK960665</t>
  </si>
  <si>
    <t>DVHK960678</t>
  </si>
  <si>
    <t>DVHK960680</t>
  </si>
  <si>
    <t>DVHK960707</t>
  </si>
  <si>
    <t>DVHK960709</t>
  </si>
  <si>
    <t>DVHK960711</t>
  </si>
  <si>
    <t>DVHK960713</t>
  </si>
  <si>
    <t>DVHK960682</t>
  </si>
  <si>
    <t>DVHK960697</t>
  </si>
  <si>
    <t>DVHK960701</t>
  </si>
  <si>
    <t>DVHK960542</t>
  </si>
  <si>
    <t>DVHK960715</t>
  </si>
  <si>
    <t>DVHK960657</t>
  </si>
  <si>
    <t>DVHK960418</t>
  </si>
  <si>
    <t>DVHK960651</t>
  </si>
  <si>
    <t>DVHK960719</t>
  </si>
  <si>
    <t>DVHK960717</t>
  </si>
  <si>
    <t>DVHK960649</t>
  </si>
  <si>
    <t>DVHK960550</t>
  </si>
  <si>
    <t>DVHK960655</t>
  </si>
  <si>
    <t>DVHK960705</t>
  </si>
  <si>
    <t>DVHK960721</t>
  </si>
  <si>
    <t>DVHK960699</t>
  </si>
  <si>
    <t>DVHK960725</t>
  </si>
  <si>
    <t>DVHK960727</t>
  </si>
  <si>
    <r>
      <t xml:space="preserve">Liste d'Ots à transporter
</t>
    </r>
    <r>
      <rPr>
        <b/>
        <sz val="10"/>
        <color indexed="18"/>
        <rFont val="Arial"/>
        <family val="2"/>
      </rPr>
      <t>Liste 6</t>
    </r>
    <r>
      <rPr>
        <sz val="10"/>
        <color indexed="18"/>
        <rFont val="Arial"/>
        <family val="2"/>
      </rPr>
      <t xml:space="preserve">
</t>
    </r>
  </si>
  <si>
    <r>
      <t xml:space="preserve">Liste d'Ots à transporter
</t>
    </r>
    <r>
      <rPr>
        <b/>
        <sz val="10"/>
        <color indexed="18"/>
        <rFont val="Arial"/>
        <family val="2"/>
      </rPr>
      <t>Liste 7</t>
    </r>
    <r>
      <rPr>
        <sz val="10"/>
        <color indexed="18"/>
        <rFont val="Arial"/>
        <family val="2"/>
      </rPr>
      <t xml:space="preserve">
</t>
    </r>
  </si>
  <si>
    <t>DVHK960729</t>
  </si>
  <si>
    <t>DVHK960731</t>
  </si>
  <si>
    <t>DVHK960736</t>
  </si>
  <si>
    <t>DVHK960703</t>
  </si>
  <si>
    <t>DVHK960740</t>
  </si>
  <si>
    <t>DVHK960742</t>
  </si>
  <si>
    <t>DVHK960738</t>
  </si>
  <si>
    <t>DVHK960744</t>
  </si>
  <si>
    <t>DVHK960661</t>
  </si>
  <si>
    <t>DVHK960746</t>
  </si>
  <si>
    <t>DVHK960645</t>
  </si>
  <si>
    <t>DVHK960748</t>
  </si>
  <si>
    <t>DVHK960752</t>
  </si>
  <si>
    <t>DVHK960755</t>
  </si>
  <si>
    <t>DVHK960757</t>
  </si>
  <si>
    <t>DVHK960759</t>
  </si>
  <si>
    <t>DVHK960761</t>
  </si>
  <si>
    <t>DVHK960765</t>
  </si>
  <si>
    <t>DVHK960767</t>
  </si>
  <si>
    <t>DVHK960769</t>
  </si>
  <si>
    <t>DVHK960134</t>
  </si>
  <si>
    <t>DVHK960775</t>
  </si>
  <si>
    <t>DVHK960773</t>
  </si>
  <si>
    <t>DVHK960777</t>
  </si>
  <si>
    <t>DVHK960779</t>
  </si>
  <si>
    <t>DVHK960781</t>
  </si>
  <si>
    <t>DVHK960783</t>
  </si>
  <si>
    <t>DVHK960785</t>
  </si>
  <si>
    <t>Liste 7</t>
  </si>
  <si>
    <t>Process TTA</t>
  </si>
  <si>
    <t>CCERP</t>
  </si>
  <si>
    <t>Web services à adapter</t>
  </si>
  <si>
    <t>Adaptation de l'interface ZHRA</t>
  </si>
  <si>
    <r>
      <t xml:space="preserve">Liste d'Ots à transporter
</t>
    </r>
    <r>
      <rPr>
        <b/>
        <sz val="10"/>
        <color indexed="18"/>
        <rFont val="Arial"/>
        <family val="2"/>
      </rPr>
      <t>Liste 8</t>
    </r>
    <r>
      <rPr>
        <sz val="10"/>
        <color indexed="18"/>
        <rFont val="Arial"/>
        <family val="2"/>
      </rPr>
      <t xml:space="preserve">
</t>
    </r>
  </si>
  <si>
    <t>Liste 8</t>
  </si>
  <si>
    <r>
      <t xml:space="preserve">Liste d'Ots à transporter
</t>
    </r>
    <r>
      <rPr>
        <b/>
        <sz val="10"/>
        <color indexed="18"/>
        <rFont val="Arial"/>
        <family val="2"/>
      </rPr>
      <t xml:space="preserve">Liste 2
</t>
    </r>
  </si>
  <si>
    <t>Option spool en arrière plan</t>
  </si>
  <si>
    <t>Adaptation par lien</t>
  </si>
  <si>
    <t xml:space="preserve">Lancer la SE16 sur la table ZTPCPNC_TTA_DESI afin de générer le programme /1BCDWB/DBZTPCPNC_TTA_DESI.
Lancer la SE16 sur la table ZTPCPNC_MOB_DESI afin de générer le programme /1BCDWB/DBZTPCPNC_MOB_DESI. (CF Defect 442)
Tester la transaction ZC_TTA_GESTCAMP, option Afficher l'historique des desiderata.
Tester la transaction ZC_MOB_GESTCAMP,  afficher l'historique des demandes de mobilité
</t>
  </si>
  <si>
    <t>Attention, opération lancée plusieurs fois sur QSH.</t>
  </si>
  <si>
    <t>Transverse</t>
  </si>
  <si>
    <t>Campagne TTA</t>
  </si>
  <si>
    <t>Frédérique TANNE</t>
  </si>
  <si>
    <t>Sélection CC</t>
  </si>
  <si>
    <t>Sélection CCP</t>
  </si>
  <si>
    <t>Joëlle RAHARINESY</t>
  </si>
  <si>
    <t>Déconnexion manuelle  et automatique</t>
  </si>
  <si>
    <t xml:space="preserve">eRH - Accès Internet </t>
  </si>
  <si>
    <t>eRH - Manager - Créer une delegation</t>
  </si>
  <si>
    <t>eRH - Mes messages</t>
  </si>
  <si>
    <t>eRH - Mes messages - Cloture d'une tache</t>
  </si>
  <si>
    <t>eRH - Salarié -  Organisation du service</t>
  </si>
  <si>
    <t>eRH - Attestations</t>
  </si>
  <si>
    <t>eRH- BSI</t>
  </si>
  <si>
    <t>eRH- BP</t>
  </si>
  <si>
    <t>eRH- EP4 et EP5</t>
  </si>
  <si>
    <t>eRH - Historique de carrière</t>
  </si>
  <si>
    <t>eRH - Données personnelles - Contacts en cas d'urgence</t>
  </si>
  <si>
    <t>eRH - Données personnelles - Ayants Droits</t>
  </si>
  <si>
    <t>eRH - Contacts utiles</t>
  </si>
  <si>
    <t>Saisie/Suppression &amp; Visualisation d'une activité de mission dans le front ESS</t>
  </si>
  <si>
    <t>Saléha BELLABAS</t>
  </si>
  <si>
    <t>Saisie/Suppression &amp; Visualisation d'une activité de mission dans le front MSS</t>
  </si>
  <si>
    <t>Saisie/validation/Suppression et Visualisation d'heures compl ou supp dans le front</t>
  </si>
  <si>
    <t>Gestion des badgeages en ESS (renseigner des badgeages et visualiser les compteurs débit/crédit)</t>
  </si>
  <si>
    <t>Gestion des badgeages en MSS (renseigner des badgeage set visualiser les compteurs débit/crédit)</t>
  </si>
  <si>
    <t>Saisie/Suppression et Visualisation d'un remplacement dans le front ESS</t>
  </si>
  <si>
    <t>Saisie/Suppression et Visualisation d'un remplacement dans le front MSS</t>
  </si>
  <si>
    <t xml:space="preserve">Mon profil voyageur : ajouter / modifier/ supprimer une adresse mail  </t>
  </si>
  <si>
    <t>Geneviève KERDREUX</t>
  </si>
  <si>
    <t xml:space="preserve">Mon profil voyageur : ajouter / modifier/ supprimer un téléphone  </t>
  </si>
  <si>
    <t xml:space="preserve">Mon profil voyageur : ajouter / modifier/ supprimer un passeport </t>
  </si>
  <si>
    <t>Planifier mes missions  : Création d'une mission ( sans SBT )  
Vérifier que la pop-up risque sanitaire apparait pour un pays à risque sanitaire
ajouter / modifier/ supprimer un vol hors SBT
ajouter / modifier/ supprimer un hotel hors SBT
ajouter / modifier/ supprimer une voiture hors SBT</t>
  </si>
  <si>
    <t>Planifier mes missions : Création de deux missions  avec SBT :
connexion au SBT
réservation d'un vol SBT
soumettre à validation</t>
  </si>
  <si>
    <t>Cathy GARRIGUENC</t>
  </si>
  <si>
    <t xml:space="preserve">Validation mission par mail  ( avec émission d'un vol SBT ) </t>
  </si>
  <si>
    <t xml:space="preserve">Modifier une des missions validées  : Changement de la date fin  </t>
  </si>
  <si>
    <t>Annulation des missions ( vérifier l'annulation des résa SBT )</t>
  </si>
  <si>
    <t xml:space="preserve">Déclarer mes frais :   ajouter / modifier/ supprimer un frais hotel 
( tester dépassement plafond  - devise JPY )   </t>
  </si>
  <si>
    <t xml:space="preserve">Vérifier que le lien Site Missions &amp; e-RH Déplacements est fonctionnel à partir de l'onglet "à lire" . </t>
  </si>
  <si>
    <t xml:space="preserve">Mes adresses  : ajouter / modifier/ supprimer une adresse  </t>
  </si>
  <si>
    <t xml:space="preserve">Mes itinéraires  : ajouter / modifier/ supprimer un itinéraire  </t>
  </si>
  <si>
    <t>Mes déclarations  : 
ajouter un IKS
ajouter un frais 
soumettre à validation</t>
  </si>
  <si>
    <t xml:space="preserve">Refus de la déclaration  </t>
  </si>
  <si>
    <t>SAP FOR</t>
  </si>
  <si>
    <t>créer un besoin avec WF4 de type CPF</t>
  </si>
  <si>
    <t>Gérard LOUM</t>
  </si>
  <si>
    <t>créer un besoin avec WF3</t>
  </si>
  <si>
    <t>créer une inscription avec WF2 de type CPF</t>
  </si>
  <si>
    <t>créer une inscription avec WF3</t>
  </si>
  <si>
    <t>consulter la liste des stagiaires attendus sur une session</t>
  </si>
  <si>
    <t>saisir une absence totale</t>
  </si>
  <si>
    <t>saisir une absence partielle</t>
  </si>
  <si>
    <t>Création dossier AT - manager</t>
  </si>
  <si>
    <t>Thu-Cam THUONG CONG</t>
  </si>
  <si>
    <t>Création dossier AT - service médical</t>
  </si>
  <si>
    <t>Lien CAP -  Lien Artemis</t>
  </si>
  <si>
    <t>GRH</t>
  </si>
  <si>
    <t>ZMAJ_DRT (Toutes Populations)</t>
  </si>
  <si>
    <t>Marc DEGOBERT</t>
  </si>
  <si>
    <t>ZMAJ_USR (Toputes populations)</t>
  </si>
  <si>
    <t>SU01D (PPS - PPE - PPL - PNC - PNT - MOE - KLM - EXT.)</t>
  </si>
  <si>
    <t>SUIM (Rôle avec critères complexes - Documents de modification etc..)</t>
  </si>
  <si>
    <t>Contrôle du reliquat des congés lors de la saise d'une période</t>
  </si>
  <si>
    <t>Saisie/Validation/Suppression &amp; Visualisation d'une activité de mission dans le back end</t>
  </si>
  <si>
    <t>Gestion d'un PRJ (création conforme /non conforme et suppression)</t>
  </si>
  <si>
    <t>Gestion d'une RPR (création/génération et suppression)</t>
  </si>
  <si>
    <t>Affectation d'un horaire à un salarié PPS</t>
  </si>
  <si>
    <t>Calcul du DAC PNC (Lancement EDT jusque fin avril 2017 personne avec des mois OFF et ou abs pénalisantes, congé sans solde et salarié temps complet)</t>
  </si>
  <si>
    <t>Saisie/Validation/Suppression et Visualisation d'un remplacement dans le back end</t>
  </si>
  <si>
    <t>Gestion des dates de gestion (absence abattante et impacts sur DDCE &amp; DAMT)</t>
  </si>
  <si>
    <t>Gestion de la maladie (saisie/modification/suppression et vérification du décompte)</t>
  </si>
  <si>
    <t>Vérification de quelques Reports (ZTFTM_IT7/ ZTFTM_PTBAL00 / ZTFTM_IT2003)</t>
  </si>
  <si>
    <t>Exécution le job DCK_D_013OFFAPPR_EXEC (approbation déplacements offline)  par SM36</t>
  </si>
  <si>
    <r>
      <t xml:space="preserve">TP01 :création d'une mission soumise à sureté
( vérifier le WF ) 
</t>
    </r>
    <r>
      <rPr>
        <sz val="10"/>
        <color rgb="FFFF0000"/>
        <rFont val="Arial"/>
        <family val="2"/>
      </rPr>
      <t>( en accord avec le service de sureté )</t>
    </r>
  </si>
  <si>
    <t>Scan d'une note de frais</t>
  </si>
  <si>
    <r>
      <t xml:space="preserve">PR05 : Contrôler les frais d'une note de frais  puis liquider une note de frais ( vérifier le WF ) 
</t>
    </r>
    <r>
      <rPr>
        <sz val="10"/>
        <color rgb="FFFF0000"/>
        <rFont val="Arial"/>
        <family val="2"/>
      </rPr>
      <t>( en accord avec le service de liquidation des OD )</t>
    </r>
  </si>
  <si>
    <t>PR05 : simuler une  ndf qui  contient des IDR plage,   simuler une ndf qui  contient des IDR durée.</t>
  </si>
  <si>
    <t>créer une session de formation avec Note)</t>
  </si>
  <si>
    <t>modifier une session de formation</t>
  </si>
  <si>
    <t>bloquer une session de formation</t>
  </si>
  <si>
    <t>ajouter un type de Ressource</t>
  </si>
  <si>
    <t>rechercher une session de formation dans le catalogue</t>
  </si>
  <si>
    <t>ajouter une Ressource</t>
  </si>
  <si>
    <t>désélectionner une Ressource</t>
  </si>
  <si>
    <t>créer un besoin de formation</t>
  </si>
  <si>
    <t>annuler un besoin de formation</t>
  </si>
  <si>
    <t>créer une inscription sur une session de formation</t>
  </si>
  <si>
    <t>annuler une inscription</t>
  </si>
  <si>
    <t>afficher les inscriptions</t>
  </si>
  <si>
    <t>rechercher une inscription</t>
  </si>
  <si>
    <t xml:space="preserve">saisir une absence </t>
  </si>
  <si>
    <t>saisir une présence</t>
  </si>
  <si>
    <t>clôturer une session</t>
  </si>
  <si>
    <t>consulter l'historique de formation</t>
  </si>
  <si>
    <t>création/modification un type de formation</t>
  </si>
  <si>
    <t>création/modification une personne externe</t>
  </si>
  <si>
    <t>Création dossier AT</t>
  </si>
  <si>
    <t>création lieu d'accident</t>
  </si>
  <si>
    <t>Création dossier MP</t>
  </si>
  <si>
    <t>Thomas BOUANICH</t>
  </si>
  <si>
    <t>Création dossier SD</t>
  </si>
  <si>
    <t>Création dossier PAT</t>
  </si>
  <si>
    <t>Génération DU</t>
  </si>
  <si>
    <t>PA20 - IT 0000 - IT0001</t>
  </si>
  <si>
    <t>PA20 - IT 48 -</t>
  </si>
  <si>
    <t xml:space="preserve">PA20 - IT  64 - 218 </t>
  </si>
  <si>
    <t>PA20 - IT  0009</t>
  </si>
  <si>
    <t>PA40</t>
  </si>
  <si>
    <t>PA41</t>
  </si>
  <si>
    <t>Consultation hsitorique de carrière - ZHGA</t>
  </si>
  <si>
    <t>ZATTESTATION</t>
  </si>
  <si>
    <t>GA</t>
  </si>
  <si>
    <t>ZHEP_ADMIN - Evaluations non archivées</t>
  </si>
  <si>
    <t>ZHEP_ARCHIV - Evaluations archivées</t>
  </si>
  <si>
    <t>Vérifier les IT0009 et la zone IBAN. Table PA0009, vérifier que la zone IBAN identique à ZIBAN</t>
  </si>
  <si>
    <t>Emmanuel LAIR</t>
  </si>
  <si>
    <t>Vérifier le cluster TE. Prends un matricule en test, vérifier la transaction ZPRTE. Vérifier l'accessibilité des missions en TP01, des frais en en PR05 et PR04</t>
  </si>
  <si>
    <t>Vérifier que les programmes /1BCDWB/DBZTPCPNC_TTA_DESI et /1BCDWB/DBZTPCPNC_MOB_DESI existent.</t>
  </si>
  <si>
    <t xml:space="preserve">Vérifier l'accessibilité aux tables ZHR_BULL, ZHR_FOTO </t>
  </si>
  <si>
    <t>Vérifier le contenu des tables Hercule rechargées</t>
  </si>
  <si>
    <t>Vérifier le contenu des HRP1601 et HRPAD104</t>
  </si>
  <si>
    <t>TECHNIQUE</t>
  </si>
  <si>
    <t xml:space="preserve">Vérifier la vue V_T582L </t>
  </si>
  <si>
    <t>Back End</t>
  </si>
  <si>
    <t>Portail</t>
  </si>
  <si>
    <t>KO</t>
  </si>
  <si>
    <t>pb
 bandeau
+ situation professionnelle</t>
  </si>
  <si>
    <t>pb bandeau</t>
  </si>
  <si>
    <t>Done</t>
  </si>
  <si>
    <t>eRH - Lien FAQ - AIDE - DEMO</t>
  </si>
  <si>
    <t>Olivier SCHMITT</t>
  </si>
  <si>
    <t>05:00 pb de compil</t>
  </si>
  <si>
    <r>
      <t xml:space="preserve">Defect </t>
    </r>
    <r>
      <rPr>
        <b/>
        <sz val="10"/>
        <color indexed="18"/>
        <rFont val="Arial"/>
        <family val="2"/>
      </rPr>
      <t>452</t>
    </r>
  </si>
  <si>
    <r>
      <t xml:space="preserve">Defect </t>
    </r>
    <r>
      <rPr>
        <b/>
        <sz val="10"/>
        <rFont val="Arial"/>
        <family val="2"/>
      </rPr>
      <t>452</t>
    </r>
  </si>
  <si>
    <t>Mois</t>
  </si>
  <si>
    <t>Plantage(Defect à créer)</t>
  </si>
  <si>
    <r>
      <t xml:space="preserve">Defect </t>
    </r>
    <r>
      <rPr>
        <b/>
        <sz val="10"/>
        <color indexed="18"/>
        <rFont val="Arial"/>
        <family val="2"/>
      </rPr>
      <t>455</t>
    </r>
    <r>
      <rPr>
        <sz val="10"/>
        <color indexed="18"/>
        <rFont val="Arial"/>
        <family val="2"/>
      </rPr>
      <t xml:space="preserve"> (sur format de date)</t>
    </r>
  </si>
  <si>
    <t>SAP RH</t>
  </si>
  <si>
    <t>uniquement sur MOE</t>
  </si>
  <si>
    <t>Test dans la nuit qui suit le redemarrage - Si cas à rammasser</t>
  </si>
  <si>
    <t>Sandrine DIETZI</t>
  </si>
  <si>
    <t>Saisie/Validation/Suppression &amp; Visualisation demande d'absence dans le back end CA01 - de 4j</t>
  </si>
  <si>
    <t>Back end</t>
  </si>
  <si>
    <r>
      <t>Saisie/Validation/Suppression &amp; Visualisation demande d'absence dans le front ESS (</t>
    </r>
    <r>
      <rPr>
        <sz val="10"/>
        <color rgb="FFFF0000"/>
        <rFont val="Arial"/>
        <family val="2"/>
      </rPr>
      <t>CA01/AB01</t>
    </r>
    <r>
      <rPr>
        <sz val="10"/>
        <color indexed="18"/>
        <rFont val="Arial"/>
        <family val="2"/>
      </rPr>
      <t>/RTT)</t>
    </r>
  </si>
  <si>
    <t>00:08:00 sans RTT</t>
  </si>
  <si>
    <r>
      <t xml:space="preserve">Defect </t>
    </r>
    <r>
      <rPr>
        <b/>
        <sz val="10"/>
        <color indexed="18"/>
        <rFont val="Arial"/>
        <family val="2"/>
      </rPr>
      <t>453</t>
    </r>
    <r>
      <rPr>
        <sz val="10"/>
        <color indexed="18"/>
        <rFont val="Arial"/>
        <family val="2"/>
      </rPr>
      <t xml:space="preserve"> (sur demande d'annulation)</t>
    </r>
  </si>
  <si>
    <t>Saisie/Suppression &amp; Visualisation demande d'absence dans le front MSS</t>
  </si>
  <si>
    <t>Contrôle des règles de prise d'absences CA01 dans le front : une seule</t>
  </si>
  <si>
    <t>Initialisation et visualisation un contingent (manuellement &amp; par EDT)</t>
  </si>
  <si>
    <t xml:space="preserve">Recalcul du décompte de congés suite saisie d'un paiement </t>
  </si>
  <si>
    <t>SBT non accessible en PPH</t>
  </si>
  <si>
    <t xml:space="preserve">Validation/refus mission dans les eservices ( avec émission d'un vol SBT ) </t>
  </si>
  <si>
    <t xml:space="preserve"> </t>
  </si>
  <si>
    <r>
      <t xml:space="preserve">Mails indisponibles
</t>
    </r>
    <r>
      <rPr>
        <b/>
        <sz val="10"/>
        <color indexed="18"/>
        <rFont val="Arial"/>
        <family val="2"/>
      </rPr>
      <t xml:space="preserve">Modifier l'adresse du user "courrier" pour le dry run 2 =&gt; CCSAP </t>
    </r>
  </si>
  <si>
    <r>
      <t xml:space="preserve">Erreur RFC lors de la soumission à validation de la mission validée
</t>
    </r>
    <r>
      <rPr>
        <b/>
        <sz val="10"/>
        <color indexed="18"/>
        <rFont val="Arial"/>
        <family val="2"/>
      </rPr>
      <t>Defect 450</t>
    </r>
  </si>
  <si>
    <r>
      <t xml:space="preserve">Plantage  à la modification d'une Ndf en front end </t>
    </r>
    <r>
      <rPr>
        <b/>
        <sz val="10"/>
        <color indexed="18"/>
        <rFont val="Arial"/>
        <family val="2"/>
      </rPr>
      <t>Defect 451</t>
    </r>
  </si>
  <si>
    <r>
      <t xml:space="preserve">Plantage à la validation d'une ndf - </t>
    </r>
    <r>
      <rPr>
        <b/>
        <sz val="10"/>
        <color indexed="18"/>
        <rFont val="Arial"/>
        <family val="2"/>
      </rPr>
      <t>Defect 449</t>
    </r>
  </si>
  <si>
    <t>report ZHESREPAT - du 01.06.2016 au 30.06.2016 - Traité</t>
  </si>
  <si>
    <t>Stéphanie LECLERCQ</t>
  </si>
  <si>
    <t>Synthèse infotypes du salarié - S_AHR_61015471</t>
  </si>
  <si>
    <t>00:05:00
Toutes population OK</t>
  </si>
  <si>
    <t>00:03:00
Toutes population OK</t>
  </si>
  <si>
    <t>00:02:00
Toutes population OK</t>
  </si>
  <si>
    <t>PA30 - IT0105 - 9TEL (+ adresse, sit fam, enfant et ayant droit)</t>
  </si>
  <si>
    <t>00:06:00
Toutes population OK
Création et suppression OK
Mais j'ai créé une adresse pour le 42200656 (PPL) et impossible de supprimer car 1ere occurrence !</t>
  </si>
  <si>
    <t>Semaine</t>
  </si>
  <si>
    <t>Consultation de la log - ZSLOG + PC00_16_UAUD</t>
  </si>
  <si>
    <t>00:003
Affichage OK
Impression OK</t>
  </si>
  <si>
    <t>00:07
Affichage OK
Impression OK</t>
  </si>
  <si>
    <t>Domaine</t>
  </si>
  <si>
    <t>Testeur</t>
  </si>
  <si>
    <t>Test</t>
  </si>
  <si>
    <t>Portail / Back End</t>
  </si>
  <si>
    <t>Durée prévisionnelle</t>
  </si>
  <si>
    <t>Statut</t>
  </si>
  <si>
    <t>Dry Run 1</t>
  </si>
  <si>
    <t>Defect suite Dry Run 1</t>
  </si>
  <si>
    <t>Dry Run 2</t>
  </si>
  <si>
    <t>Go Live</t>
  </si>
  <si>
    <t>Post Go Live</t>
  </si>
  <si>
    <t>Defect 454</t>
  </si>
  <si>
    <r>
      <t xml:space="preserve">Defect </t>
    </r>
    <r>
      <rPr>
        <b/>
        <sz val="10"/>
        <color indexed="18"/>
        <rFont val="Arial"/>
        <family val="2"/>
      </rPr>
      <t>456</t>
    </r>
    <r>
      <rPr>
        <sz val="10"/>
        <color indexed="18"/>
        <rFont val="Arial"/>
        <family val="2"/>
      </rPr>
      <t xml:space="preserve"> (affichage double ":")</t>
    </r>
  </si>
  <si>
    <t>PB MOE - idem PROD</t>
  </si>
  <si>
    <t>OK 00:02</t>
  </si>
  <si>
    <t>créer une inscription en masse sur une session de formation :
import du fichier
traitement avec transaction ZFORM_CHARG_INSC</t>
  </si>
  <si>
    <r>
      <t>Import du fichier local avec CG3Z impossible en PPH -</t>
    </r>
    <r>
      <rPr>
        <b/>
        <sz val="10"/>
        <color rgb="FFFF0000"/>
        <rFont val="Arial"/>
        <family val="2"/>
      </rPr>
      <t xml:space="preserve"> Defect 461</t>
    </r>
  </si>
  <si>
    <t>Defect 466</t>
  </si>
  <si>
    <r>
      <t xml:space="preserve">Pas d'accès au menu classification pour déclarer tâche en générale PPH new - </t>
    </r>
    <r>
      <rPr>
        <b/>
        <sz val="10"/>
        <color rgb="FFFF0000"/>
        <rFont val="Arial"/>
        <family val="2"/>
      </rPr>
      <t>DEFECT 466</t>
    </r>
  </si>
  <si>
    <r>
      <t xml:space="preserve">onglet formateur non accessible PPH - </t>
    </r>
    <r>
      <rPr>
        <b/>
        <sz val="10"/>
        <color rgb="FFFF0000"/>
        <rFont val="Arial"/>
        <family val="2"/>
      </rPr>
      <t>Defect 463</t>
    </r>
  </si>
  <si>
    <t>id</t>
  </si>
  <si>
    <r>
      <t xml:space="preserve">00:07:00
Plantage de façon aléatoire - </t>
    </r>
    <r>
      <rPr>
        <b/>
        <sz val="10"/>
        <color rgb="FFFF0000"/>
        <rFont val="Arial"/>
        <family val="2"/>
      </rPr>
      <t>Defect 465</t>
    </r>
  </si>
  <si>
    <t>pas d'URL pointant sur PPH new</t>
  </si>
  <si>
    <t>OK PDF
KO XLS time out</t>
  </si>
  <si>
    <t>00:03
ZSLOG OK mais PC00_M16_UAUD OK avec coche ALV cochée automatiquement (petit defect à ouvrir)</t>
  </si>
  <si>
    <t>Historique des évaluations (croisement de données)</t>
  </si>
  <si>
    <t>Livraison de la machine back end</t>
  </si>
  <si>
    <t>En cours</t>
  </si>
  <si>
    <t>Non commencé</t>
  </si>
  <si>
    <t>Déconnexion des users encore connectés</t>
  </si>
  <si>
    <t>MAJ des statistiques</t>
  </si>
  <si>
    <t>Terminé</t>
  </si>
  <si>
    <t>Sauvegarde automatique au fil de l'eau</t>
  </si>
  <si>
    <t>Etape rajoutée</t>
  </si>
  <si>
    <t xml:space="preserve">- Restes de SPDD - SPAU &gt; étape ignorée à cet instant
</t>
  </si>
  <si>
    <t>- Le package ST-PI et ses SPs étaient manquants en EPS/in
- La partie PREP_EXTENSION/CONFLICT_CHECK dure à elle seule environ 35 mins</t>
  </si>
  <si>
    <t>Création de la shadow instance
Mot de passe provisoire utilisé (sup. 8 caractères) : CGIcg!2016</t>
  </si>
  <si>
    <t>- Importer les Ots DVHK960007 et DVHK960090 pour corriger les erreurs dans la SUM</t>
  </si>
  <si>
    <t>DVHK960799</t>
  </si>
  <si>
    <t>DVHK960793</t>
  </si>
  <si>
    <t>DVHK960804</t>
  </si>
  <si>
    <t>DVHK960806</t>
  </si>
  <si>
    <t>DVHK960808</t>
  </si>
  <si>
    <t>DVHK960814</t>
  </si>
  <si>
    <t>DVHK960816</t>
  </si>
  <si>
    <t>DVHK960789</t>
  </si>
  <si>
    <t>DVHK960787</t>
  </si>
  <si>
    <t>DVHK960791</t>
  </si>
  <si>
    <t>DVHK960795</t>
  </si>
  <si>
    <t>DVHK960802</t>
  </si>
  <si>
    <t>DVHK960818</t>
  </si>
  <si>
    <t>DVHK960820</t>
  </si>
  <si>
    <t>DVHK960822</t>
  </si>
  <si>
    <t>DVHK960826</t>
  </si>
  <si>
    <t>DVHK960879</t>
  </si>
  <si>
    <t>DVHK960828</t>
  </si>
  <si>
    <t>DVHK960898</t>
  </si>
  <si>
    <t>DVHK960919</t>
  </si>
  <si>
    <t>DVHK960540</t>
  </si>
  <si>
    <t>DVHK960265</t>
  </si>
  <si>
    <t>DVHK960267</t>
  </si>
  <si>
    <t>DVHK960830</t>
  </si>
  <si>
    <t>DVHK960832</t>
  </si>
  <si>
    <t>DVHK960834</t>
  </si>
  <si>
    <t>DVHK960838</t>
  </si>
  <si>
    <t>DVHK960840</t>
  </si>
  <si>
    <t>DVHK960842</t>
  </si>
  <si>
    <t>DVHK960844</t>
  </si>
  <si>
    <t>DVHK960848</t>
  </si>
  <si>
    <t>DVHK960850</t>
  </si>
  <si>
    <t>DVHK960852</t>
  </si>
  <si>
    <t>DVHK960854</t>
  </si>
  <si>
    <t>DVHK960858</t>
  </si>
  <si>
    <t>DVHK960912</t>
  </si>
  <si>
    <t>DVHK960903</t>
  </si>
  <si>
    <t>DVHK960905</t>
  </si>
  <si>
    <t>DVHK960907</t>
  </si>
  <si>
    <t>DVHK960917</t>
  </si>
  <si>
    <t>DVHK960921</t>
  </si>
  <si>
    <t>DVHK960647</t>
  </si>
  <si>
    <t>DVHK960929</t>
  </si>
  <si>
    <t>PBED : Communication effectuée.</t>
  </si>
  <si>
    <t>Sauvegarde du répertoire /sapsum tout au long de l'upgrade</t>
  </si>
  <si>
    <t>MAIN_SHDRUN (Shadow System Operations: SPDD and Activation)</t>
  </si>
  <si>
    <t>David/Emmanuel</t>
  </si>
  <si>
    <t>Permettre l'export de fichier sous format XLS</t>
  </si>
  <si>
    <r>
      <t xml:space="preserve">MIHA 12/08 : Zone commentaires : remplacer les 'QSH' par 'PPH'
'- 'L'OT </t>
    </r>
    <r>
      <rPr>
        <b/>
        <sz val="10"/>
        <color rgb="FFFF0000"/>
        <rFont val="Arial"/>
        <family val="2"/>
      </rPr>
      <t>DVHK960018</t>
    </r>
    <r>
      <rPr>
        <sz val="10"/>
        <color indexed="18"/>
        <rFont val="Arial"/>
        <family val="2"/>
      </rPr>
      <t xml:space="preserve"> ne contient pas tous les objets à ajuster en PPH
&gt; Option 'Yes, with double check' : Les ajustements manquants se feront ultérieurement sur le système OT 
- Création du user SPDDADM (copie de DDIC en PPH_000 sur shadow instance)
- Ajustement objets en SPDD sur PPH par ELAIR avec l'OT </t>
    </r>
    <r>
      <rPr>
        <b/>
        <sz val="10"/>
        <color indexed="18"/>
        <rFont val="Arial"/>
        <family val="2"/>
      </rPr>
      <t>DVHK960007 et DVHK960090</t>
    </r>
  </si>
  <si>
    <t>Faire se16 sur la table TLIBG
Puis vérifier en SE80, groupe de fonction …
Si absent, passer le  :
DVHK960090       4119573      P-UPECCHR-MOVE4HR-Module fonction manquant sur QSH-01</t>
  </si>
  <si>
    <t>Vérification des infotypes</t>
  </si>
  <si>
    <t>Lancer en SE38, il faut que les programmes %_HR9* doivent exister 
9* = 9008, 9500, 9501, 9502, 9503, 9504, 9506, 9508, 9509, 9510, 9512, 9522,9523, 9524, 9529, 9801, 9802, 9803, 9871, 9872, 9884, 9891, 9892, 9893, 9894</t>
  </si>
  <si>
    <t xml:space="preserve">Attention, lancement en deux étapes : 
1 - Sur le user de PAVEL :
- SE16 table PA0009, PERNR = 41277742 et lancer. Vérifier que la colonne ZZIBAN renseignée sur au moins 1 ligne (juillet 2011 dans la table).
Le but du programme est de copier le contenu de la zone ZZIBAN dans la zone IBAN. 
- Premier lancement sur le user 41277742. uniquement avec le numéro de matricule. (autres zones à vide).
- Si IBAN alimentée, relancer sur toute la population.
2 - sur toute la population
Lancement du programme ZHR_MAJ_IT0009 et vérifier sur tous les matricules
S_PERNR =Vide
S_BEGDA = Vide
S_ENDDA = Vide
Vérifier la table
- Volumétrique (nb de ZZiban alimenté = nb Iban alimenté)
- ZZIBAN = vide et IBAN &lt;&gt; vide (doit être 0)
- ZZIBAN &lt;&gt; vide et IBAN = vide (doit être 0)
- Qualitatif : sur les 200 première entrées alimentées.
</t>
  </si>
  <si>
    <t>2 étapes : 
1 - Vérification via la transaction ZPRTE
Mettre le matricule de Pavel / F8 ==&gt; On obtient la liste de tous les déplacements. 
SI on double clic sur une ligne (zone déplacement), on a un dump.
2 -Lancement de ZTV_MAJ_CLUSTER_TE sur  le user de test
Matricule = Celui de test
N° déplacement = Vide
Première màj = Coché
Mise à jour BELEG par fichier = Vide
Nom du fichier = Vide.
2 - Contolre(faire le contrôle avec ZPRTE)
Avec le matricule de tests, afficher le contenu de la table BELEG (sléctionner BELEG) et petites lunettes (on peut également controler les autres zones qui ne sont pas à vide).
Vérifier que le contenu est cohérent en terme de format (Origine = B, E, M). L'erreur pourrait venir d'un décalage de zone.
4 - Lancer le programme sur le reste de la population. Attentioin, il ne faut pas relancer sur le user de test.
Matricule = Différent du matricule de test.
Attention, break point sur le matricule d'Emmanuel.
5 - Faire un controle sur une 10 de matricules.
Pour inofmration, le jeu de test peut être récupérer dans la table PTRV_PERIO.</t>
  </si>
  <si>
    <t>Paramétrage des options d'impression.
programme RSPRIPARADMIN. 
Nom = ALVST (statistiques ALV) 
Cliquer sur "Reprendre valeurs par défaut"
==&gt; Deux lignes doivent s'ajouter 
             Dial = Non
              Arr.-plan = Non.
Sauvegarder.
Obectif : Supprimer la page de garde des spool contenant les statistiques ALV, cf defect 243.</t>
  </si>
  <si>
    <t>Vérifier paramétrage mémoire de la machine</t>
  </si>
  <si>
    <t xml:space="preserve">Lancer le programme ZTV_UPDATE_HISTO_LOG
Mode sélection matricule = Coché
Mode "mise à jour" = Vide
N° Déplacement = vide
Matricule = Liste communiquée par Emmanuel (onglet tranches de ce fichier, colonnes K et L)
S_DATE = 2016 puis Tout ce qui est avant 1/1/2016
Type de données historiques = Laisser les valeurs par défaut (F, Y, H, T, V)
Tables des historiques = Cochée
Tables des logs = Cochée
NB sec entre chaque traitement = 50
Mode Test = Vide
Lancer en arrière plan
attendre que le job soit terminé pour lancer sur la tranche suivante.
Commencer par traiter 2016 lors des opérations post upgrade.
Faire ensuite les autres années.
Pour vérifer les données à traiter : ZTTV_Log_Matis ou ZTTV_Histo_MAtis.
Il faut lancer le programme pour les deux tables.
</t>
  </si>
  <si>
    <t>TrancheMise à jour des tables ZTTV_Log_Matis et ZTTV_Histo_MAtis.</t>
  </si>
  <si>
    <t>Cf Onglet 4</t>
  </si>
  <si>
    <t>Cf Onglet 6</t>
  </si>
  <si>
    <t>Rollback - Switch archivelog + identification du dernier numéro du journal de log</t>
  </si>
  <si>
    <t>Rollback - Activation du RSYNC (périodicité 10 mins)</t>
  </si>
  <si>
    <t>Rollback - Sauvegarde Incrémentale Online</t>
  </si>
  <si>
    <t>Supprimer ou déplacer le répertoire /usr/sap/trans/upgrade en fin d'upgrade</t>
  </si>
  <si>
    <t>Supprimer le lien symbolique /usr/sap/trans/EPS/in pour les SP</t>
  </si>
  <si>
    <t xml:space="preserve">- A prendre en compte également le temps pour augmenter les tablespaces aux tailles exigées par SAP pour PSAPSR3(+100 Go), SYSTEM (+1024 Mo), PSAPUNDO (800 Mo), et création du tablespace PSAPSR3740 (137 Go). En production, à faire avant la SUM
NB. PSAPSR3640 est conservé pour le moment.
</t>
  </si>
  <si>
    <t xml:space="preserve">Sur PPH : Reblocage de COREALE, HRALE, MAESTRO
</t>
  </si>
  <si>
    <t>Sur PPH, blocage en plus de la EWZ5 les users suivants :
CRYSTAL
GUSUSER
MATIS_SOA
TWS
M135586
Et débloqué :
DTRAN
T021131
STPIGLI
FRBAUDINAUD
PAANDRE
ADMIN
MAESTRO
COREALE
HRALE</t>
  </si>
  <si>
    <t>Attention, le nombre de process Batch doit être mis à 5 minimum en RZ04 en cas d'erreur (problème rencontré sur DVH et QSH uniquement pour le moment)</t>
  </si>
  <si>
    <t>A faire au moins une fois durant la préparation Unicode</t>
  </si>
  <si>
    <t>Parallélisation avec la phase PREPARE du DM</t>
  </si>
  <si>
    <t>Parallélisation avec la phase EXPORT du DM</t>
  </si>
  <si>
    <t xml:space="preserve">Tests fonctionnels </t>
  </si>
  <si>
    <t>cf onglet 05-Verif_fonc_DINR</t>
  </si>
  <si>
    <t>Préparation dowtime Air France</t>
  </si>
  <si>
    <t>Upgrade dowtime</t>
  </si>
  <si>
    <t>Upgrade online</t>
  </si>
  <si>
    <t>Upgrade dowtime Détail dans Onglet 02'- Export - Import</t>
  </si>
  <si>
    <t>SAPInst : Installation ERS</t>
  </si>
  <si>
    <t>Numéro d'instance ERS pour PPH : 10
A rajouter les fichiers de profiles ERS et SCS:
enque/repl/shadow_file_name = /usr/sap/PPH/ERS10/data/SHM_FILESYS_BACKUP</t>
  </si>
  <si>
    <t>Préparation migration</t>
  </si>
  <si>
    <t>Dernier Go nogo</t>
  </si>
  <si>
    <t>Vérifier l'arret des envois de fichiers des partenaires</t>
  </si>
  <si>
    <t>Vérifier qu'il n'y a plus de BTCI en erreur à recycler</t>
  </si>
  <si>
    <t>Paramétrer le message d'information sur coupure à 17 h des systèmes</t>
  </si>
  <si>
    <t>PBED 22/8 : Tache ajoutée</t>
  </si>
  <si>
    <t>Opération post ouverture du système aux utilisateurs</t>
  </si>
  <si>
    <t>Lancement des interfaces à forcer  le lundi (5 à détailler depuis fichier Théo)</t>
  </si>
  <si>
    <t xml:space="preserve">GO / NoGo pour ouverture </t>
  </si>
  <si>
    <t>Communication sur réouverture système</t>
  </si>
  <si>
    <t>DINR 1C</t>
  </si>
  <si>
    <t>Nathalie GUEDEU</t>
  </si>
  <si>
    <t>Lancement des interfaces forcées (3-4 à détailler depuis fichier Théo)
Time port</t>
  </si>
  <si>
    <t>Déplacement de la tache</t>
  </si>
  <si>
    <t>Ajout de la tâche</t>
  </si>
  <si>
    <t>Déblocage partenaire Logique PRH200 sur Corporate (PRD)</t>
  </si>
  <si>
    <t>Déblocage de tous les utilisateurs</t>
  </si>
  <si>
    <t>Déblocage des Users Projets pour validation</t>
  </si>
  <si>
    <t>EDIGRAPH</t>
  </si>
  <si>
    <t>ELEARNING</t>
  </si>
  <si>
    <t>RDJ</t>
  </si>
  <si>
    <t>ROSTER</t>
  </si>
  <si>
    <t>EDI-&gt; SAP stop l'envoie des photos</t>
  </si>
  <si>
    <t>MOS doit couper MOSREAL en entrant (delta)</t>
  </si>
  <si>
    <t>Théo/Nathalie Guédeu</t>
  </si>
  <si>
    <t>Thu-Cam/Kim</t>
  </si>
  <si>
    <t>Geneviève/ Laurence KARAS</t>
  </si>
  <si>
    <t>Sandrine/</t>
  </si>
  <si>
    <t xml:space="preserve">(interface reception avances caisses) Laurence KARAS doit bloquer les avances pour ne pas executer le traitement sinon fichiers écrasés </t>
  </si>
  <si>
    <t>Augmenter la profondeur à xj?</t>
  </si>
  <si>
    <t>Préparation Dowtime équipe fonctionnelle</t>
  </si>
  <si>
    <t>Go / No Go</t>
  </si>
  <si>
    <t>DINR Vérifier que le traitement est bien passé à 1h le jeudi matin pré upgrade</t>
  </si>
  <si>
    <t>modifier variante d'extraction la veille sur 2 interfaces (inscription + session)</t>
  </si>
  <si>
    <t>Sandrine</t>
  </si>
  <si>
    <t>Thu-Cam</t>
  </si>
  <si>
    <t>FAST (Ancienneté PN)</t>
  </si>
  <si>
    <t>GECO SF</t>
  </si>
  <si>
    <t>Arrêt d'alimentation d'interface autre que par TWS : blocage du job d'envoi IDOC de Corporate vers HR (désactivation du partenaire logique PRH200 sur Corporate PRD 200)</t>
  </si>
  <si>
    <t>Modification du libellé</t>
  </si>
  <si>
    <t>Envoi du fichier via flux RVGN85
[GPN, CREW -&gt; Données administratives] 
Le fichier doit arriver avant 17h15 pour être intégré</t>
  </si>
  <si>
    <t>GPN</t>
  </si>
  <si>
    <t>INTRAPN (CREW)</t>
  </si>
  <si>
    <t>EDITO</t>
  </si>
  <si>
    <t>IBPN</t>
  </si>
  <si>
    <t>CIRCPN (CIRCUIT PN)</t>
  </si>
  <si>
    <t>FRIENDLY</t>
  </si>
  <si>
    <t xml:space="preserve">Envoi du fichier via flux RVGN86
[ICART - &gt; Données administratives] </t>
  </si>
  <si>
    <t>ICART</t>
  </si>
  <si>
    <t>FAST (Absences)</t>
  </si>
  <si>
    <t>Lancer le job d'extraction (si problèmes nous avons jusqu'au lundi pour le lancer)</t>
  </si>
  <si>
    <t>tâches dans le chrono (vérifier complétude)</t>
  </si>
  <si>
    <t>Prévenir: AMO SCGP: C Dray Gaston, MOE Cathy Parnot et Corinne Gambino pour que les services soient redémarrés. Leur confirmer que le 1er fichier envoyé arrivera Mardi à 1h du matin.</t>
  </si>
  <si>
    <t xml:space="preserve">DWHCORH </t>
  </si>
  <si>
    <t>TimePort Gestor</t>
  </si>
  <si>
    <t>SCGP SERVEUR GP</t>
  </si>
  <si>
    <t>Pavel+ Damien</t>
  </si>
  <si>
    <t>Olivier</t>
  </si>
  <si>
    <t>CHIMED</t>
  </si>
  <si>
    <t>ERPREVENTIEL</t>
  </si>
  <si>
    <t>GIP</t>
  </si>
  <si>
    <t>Forcer une montée au plan lundi</t>
  </si>
  <si>
    <t>Forcer une montée au plan lundi soir</t>
  </si>
  <si>
    <t>Lancement manuel la journée du lundi</t>
  </si>
  <si>
    <t>Vérifier le traitement des fichiers du dimanche. Si non traités, lancement manuel la journée du lundi.</t>
  </si>
  <si>
    <t>Vérifier lundi matin que le traitement est OK (emporte toutes les données du jeudi)</t>
  </si>
  <si>
    <t>Thu-Cam/Nathalie</t>
  </si>
  <si>
    <t>Olivier/Nathalie</t>
  </si>
  <si>
    <t>Vérification de la fin des interfaces en cours :</t>
  </si>
  <si>
    <t>Cf onglet 02'</t>
  </si>
  <si>
    <t>Liste 9</t>
  </si>
  <si>
    <t>DVHK960931</t>
  </si>
  <si>
    <t>DVHK960933</t>
  </si>
  <si>
    <t>DVHK960888</t>
  </si>
  <si>
    <t>Test d'accès nouveau portail (intranet et internet)</t>
  </si>
  <si>
    <t>- Import du package SAPK-74003INSTPI
- Penser à installer une licence de maintenance sur les systèmes
- La SPAM se termine lorsque le declustering se terminé.</t>
  </si>
  <si>
    <t>Faire la SGEN</t>
  </si>
  <si>
    <t>Vérifier la taille des file-systèms pour migration UNICODE</t>
  </si>
  <si>
    <t>Vérifier les actions nécessaires à la sécurisation des interfaces</t>
  </si>
  <si>
    <t xml:space="preserve">Message sur intralignes </t>
  </si>
  <si>
    <t>KHAZ 23/08 : Go doit être donné par Julien</t>
  </si>
  <si>
    <t xml:space="preserve">KHAZ 23/08 </t>
  </si>
  <si>
    <t>KHAZ 24/08 : Sur Go du projet</t>
  </si>
  <si>
    <t>Redimensionner PSAPTEMP et PSAPUNDO</t>
  </si>
  <si>
    <t>PSAPTEMP : 8 Go dans /oracle/PPH/sapdata0
PSAPUNDO : 13 Go dans /oracle/PPH/sapdata1</t>
  </si>
  <si>
    <t>Sauvegardé dans /BackupSUM/SUM_PPH/upgrade_DR2</t>
  </si>
  <si>
    <t>Numéro d'instance : 03</t>
  </si>
  <si>
    <t>Phase à optimiser en production, possible de réaliser les calculs avant l'upgrade avec sappfar</t>
  </si>
  <si>
    <r>
      <t>Il faut supprimer complètement la STMS et la recréer en l'intégrant dans le controleur de domaine DVH - utiliser l'ancien mot de passe de TMSADM
A importer l'un après l'autre
-</t>
    </r>
    <r>
      <rPr>
        <b/>
        <sz val="10"/>
        <color indexed="18"/>
        <rFont val="Arial"/>
        <family val="2"/>
      </rPr>
      <t>DVMK900236</t>
    </r>
    <r>
      <rPr>
        <sz val="10"/>
        <color indexed="18"/>
        <rFont val="Arial"/>
        <family val="2"/>
      </rPr>
      <t xml:space="preserve"> - P-UPECCHR-FD905513-Recuperation Objets OpenHR-02 (code 8 attendu)
-</t>
    </r>
    <r>
      <rPr>
        <b/>
        <sz val="10"/>
        <color indexed="18"/>
        <rFont val="Arial"/>
        <family val="2"/>
      </rPr>
      <t>DVMK900241</t>
    </r>
    <r>
      <rPr>
        <sz val="10"/>
        <color indexed="18"/>
        <rFont val="Arial"/>
        <family val="2"/>
      </rPr>
      <t xml:space="preserve"> - P-UPECCHR-FD905513-Recuperation Objets OpenHR-03
</t>
    </r>
  </si>
  <si>
    <t>Intégrer les Banques en provenance de Corporate dans PRH200</t>
  </si>
  <si>
    <t>Liste infotypes</t>
  </si>
  <si>
    <r>
      <t xml:space="preserve">Lancer le programme RPUMS40CCI pour recréer les includes %_HR9****
Infotypes = 9*
Générer include infotype = Coché
Générer strucutres données supp = Coché 
Gérer uniquement T77ID = Décoché
Mode test = X lors du premier lancement, vérifier pas d'erreur
                          décoché pour le vrai lancement
</t>
    </r>
    <r>
      <rPr>
        <b/>
        <sz val="10"/>
        <color rgb="FFFF0000"/>
        <rFont val="Arial"/>
        <family val="2"/>
      </rPr>
      <t>Suite FRH et DR2, il est nécessaire de lancer deux fois cette étape. Vérifier également la présence du 9507.</t>
    </r>
  </si>
  <si>
    <t>DVHK960955</t>
  </si>
  <si>
    <t>DVHK960959</t>
  </si>
  <si>
    <t>TV1K900044</t>
  </si>
  <si>
    <t>TV1K900751</t>
  </si>
  <si>
    <r>
      <t xml:space="preserve">Vérifier les entrées de T532A et  vérifier après un premier traitement la T532L pour le code interface ZHRA
il faut regénérer l'interface ZHRA par la transaction PU12.
SE16 T532A, FLDID = ZHRA, TABNA = P0001
Vérifier qu'il existe les zones SGMNT en positions 51 et BUDGET_PD en positions 52.
SE16 T532L, FLDID = ZHRA, DICNA = P0001
Vérifier qu'il existe les zones SGMNT en positions 51 et BUDGET_PD en positions 52 sur la version 02.
PU12 / configuration / Format interface = ZHRA / Cliquer sur Générer. Demande 1 OT dont on ne fera rien. libellé = NE PAS TRANSPORTER.
==&gt; Voir avec Pavel car il faut tester un flux de l'interface HRA (rubrique).
</t>
    </r>
    <r>
      <rPr>
        <b/>
        <sz val="10"/>
        <color rgb="FFFF0000"/>
        <rFont val="Arial"/>
        <family val="2"/>
      </rPr>
      <t>En attente retour de Pavel sur le test unitaires de l'interface</t>
    </r>
    <r>
      <rPr>
        <sz val="10"/>
        <color indexed="18"/>
        <rFont val="Arial"/>
        <family val="2"/>
      </rPr>
      <t xml:space="preserve">
</t>
    </r>
  </si>
  <si>
    <t>Mise à jour des tables ZTTV_Log_Matis et ZTTV_Histo_Matis année 2016</t>
  </si>
  <si>
    <t>Mise à jour des tables ZTTV_Log_Matis et ZTTV_Histo_Matis autres années</t>
  </si>
  <si>
    <t>Durée en sec</t>
  </si>
  <si>
    <t>Durée estimée</t>
  </si>
  <si>
    <t>Durée</t>
  </si>
  <si>
    <t>Nb de batch</t>
  </si>
  <si>
    <t>Moyenne</t>
  </si>
  <si>
    <t>Valorisation paramètre mémoire ABAP</t>
  </si>
  <si>
    <t>DI.VB.SA</t>
  </si>
  <si>
    <t>Import des templates Excel dans le mandant 000</t>
  </si>
  <si>
    <t xml:space="preserve">Step 4 de la note 1937247 (action DI.VB.SA sur mandant 000).  Cf DMI 544731 </t>
  </si>
  <si>
    <t>Adaptation RFC (Echange avec coporate), UNICODE</t>
  </si>
  <si>
    <r>
      <rPr>
        <b/>
        <u/>
        <sz val="10"/>
        <color indexed="18"/>
        <rFont val="Arial"/>
        <family val="2"/>
      </rPr>
      <t>PBED 11/08</t>
    </r>
    <r>
      <rPr>
        <b/>
        <sz val="10"/>
        <color indexed="18"/>
        <rFont val="Arial"/>
        <family val="2"/>
      </rPr>
      <t xml:space="preserve"> : suite à opération sur FRH, retour de Julien sur les volumétries à controler : 
laisser par défaut les abap/heap_area_nondia (2000000000) et abap/heap_area_total (4000000000)
et valoriser spécifiquement :
rdisp/PG_MAXFS = 131072
rdisp/PG_SHM = 32768
</t>
    </r>
    <r>
      <rPr>
        <sz val="10"/>
        <color indexed="18"/>
        <rFont val="Arial"/>
        <family val="2"/>
      </rPr>
      <t xml:space="preserve">Vérifier le paramétagre machine (PRH) :
abap/heap_area_nondia = 6442450944
abap/heap_area_total = 12884901888
rdisp/PG_MAXFS = 262144
rdisp/PG_SHM = 32768
</t>
    </r>
  </si>
  <si>
    <t>Est-ce que cela ne nécessiterait pas une action supplémentaire?</t>
  </si>
  <si>
    <t>Relance des transferts sur l'ensemble des jours d'arret</t>
  </si>
  <si>
    <t>Réouverture des batchs</t>
  </si>
  <si>
    <t>C2B</t>
  </si>
  <si>
    <t>Modification/suspension des messages intralignes</t>
  </si>
  <si>
    <t>Sophie</t>
  </si>
  <si>
    <t>Sophie /?</t>
  </si>
  <si>
    <t>Message sur e-services</t>
  </si>
  <si>
    <t>Thierry MARCHAND</t>
  </si>
  <si>
    <t>Vérifier que la mise à jour des OCAB (until &amp; Except) dans l'ordonnanceur a été faite</t>
  </si>
  <si>
    <t>Pavel</t>
  </si>
  <si>
    <t>Geneviève, Thu Cam et Sandrine</t>
  </si>
  <si>
    <t>Redirection URL Portail vers page de maintenance</t>
  </si>
  <si>
    <t xml:space="preserve">Redirection URL Portail vers nouvelle production portail </t>
  </si>
  <si>
    <t>Arrêt des services Adhesion sur HRCI-AF</t>
  </si>
  <si>
    <t>Arrêt de l'envoi des fichiers de timeport</t>
  </si>
  <si>
    <t>Arrêt du portail</t>
  </si>
  <si>
    <t>Suspension des jobs TWS (type SAP et Unix)</t>
  </si>
  <si>
    <t>Controler le Fence = 0 (TWS)</t>
  </si>
  <si>
    <t>Controler le Fence = 101 (TWS)</t>
  </si>
  <si>
    <t>30/08 PA</t>
  </si>
  <si>
    <t>Rollback - Sauvegarde de l'état hors BDD</t>
  </si>
  <si>
    <t>Lancer BRARCHIVE au fil de l'eau</t>
  </si>
  <si>
    <t>Etape supplémentaire rajoutée et demandée par Air France
30/08 PA : Lancer une copie de brarchive depuis /tmp</t>
  </si>
  <si>
    <t>Notifier DI.VB du début de la phase MAIN_SHDRUN</t>
  </si>
  <si>
    <t>SP</t>
  </si>
  <si>
    <t>Notifier DI.VB de la fin de la phase MAIN_SHDRUN</t>
  </si>
  <si>
    <t>Vérifier l'heure de demande (de préférence 1h avant)</t>
  </si>
  <si>
    <t>Check Sauvegarde FULL</t>
  </si>
  <si>
    <t xml:space="preserve">30/08 PA : AF doit s'assurer de l'existence d'une sauvegarde FULL au milieu de la Shadow Import pour faire les restore sur UCH
</t>
  </si>
  <si>
    <t>Rolback fichiers</t>
  </si>
  <si>
    <t>?</t>
  </si>
  <si>
    <t>30/08 PA : CGI doit expliciter la procédure de rollback</t>
  </si>
  <si>
    <t>switch Archivelog + BRARCHIVE</t>
  </si>
  <si>
    <t>Arrêt du Rsync /sapsum périodique et lancement Rsync en mode manuel</t>
  </si>
  <si>
    <t>PA/SP</t>
  </si>
  <si>
    <t>PA</t>
  </si>
  <si>
    <t>30/08 PA : Expliciter la procedure de Rollback 
Commentaire nitial : La sauvegarde des binaires/profiles + variables d'environnement a été faite en avance de phase pour le DR2</t>
  </si>
  <si>
    <t>Notifier DI.VB de lancer le Back up online INCR</t>
  </si>
  <si>
    <t>Notifier DI.VB de restorer le Back up online INCR sur UCH</t>
  </si>
  <si>
    <t>Sur validation CGI, restoration des journaux oracle et ouverture de UCH</t>
  </si>
  <si>
    <t>Notifier DI.VB de lancer le back up FULL online</t>
  </si>
  <si>
    <t>30/08 Lancement de la Full Online</t>
  </si>
  <si>
    <t>30/08 PA : ne concerne que PRH - Parallélisation avec la phase de déclustering</t>
  </si>
  <si>
    <t xml:space="preserve">Check DIVB.SA  </t>
  </si>
  <si>
    <t>30/08 PA : Parallélisation avec la phase de déclustering</t>
  </si>
  <si>
    <t>Check DIVB.SA non parralélisable avec le déclustering</t>
  </si>
  <si>
    <t>conf HP OVO sur le portail eRH</t>
  </si>
  <si>
    <t>30/08 PA : toujours d'actualité ?</t>
  </si>
  <si>
    <t>Prévenir Que les sondes IP label seront en erreur sur la production PRH.</t>
  </si>
  <si>
    <t>Reparamétrer le lien de redirection page de maintenance</t>
  </si>
  <si>
    <t>Désactivation page de maintenance</t>
  </si>
  <si>
    <t>DI.NR/AMO</t>
  </si>
  <si>
    <t>support</t>
  </si>
  <si>
    <t>TPE 31/08: inutile</t>
  </si>
  <si>
    <t>TPE 31/08: démarrer dés 12h</t>
  </si>
  <si>
    <t>Appeler Marc Amaury</t>
  </si>
  <si>
    <t>DINR</t>
  </si>
  <si>
    <t>Théo</t>
  </si>
  <si>
    <t>Appeler Support</t>
  </si>
  <si>
    <t xml:space="preserve">Déblocage des users techniques interface (MAESTRO, ALE*, </t>
  </si>
  <si>
    <t>TPE 31/08: passage de relai</t>
  </si>
  <si>
    <t>SAP Portail - Reparamétrage de la communication avec le systeme backend</t>
  </si>
  <si>
    <t>X</t>
  </si>
  <si>
    <t>Blocage des utilisateurs sauf technique et liste donné par le projet (JCO_EP_XSS, UWLSERVICES)</t>
  </si>
  <si>
    <t>Configuration Loginmodule CA Siteminder SSO for SAP Web AS</t>
  </si>
  <si>
    <t>configuration/vérification ADS</t>
  </si>
  <si>
    <t>Check version JAR UWL</t>
  </si>
  <si>
    <t>Habile : Valorisation de la page de déconnexion (paramétrage )</t>
  </si>
  <si>
    <t>Habile : Valorisation de la page de déconnexion (vérif)</t>
  </si>
  <si>
    <t>Check connecteur adhésion (Loadbalancing)</t>
  </si>
  <si>
    <t>=&gt; si besoin demande ideal (demande de mep)</t>
  </si>
  <si>
    <t>Vérification/activation des services ICF requis pour les BSP + acti SOA Manager + activation HCM_LEARNING</t>
  </si>
  <si>
    <t>TPE 31/08: Valider avec Genevieve si contrôles inclus dans tests DINR</t>
  </si>
  <si>
    <t>Après transport SAP
Paramétrer les Web services Travel  via soamanager (voir mode op fourni par Cao)
==&gt; Attendre le passage des Ots du Lot 6 pour faire la demande au CCERP.</t>
  </si>
  <si>
    <t>TPE 31/08:</t>
  </si>
  <si>
    <t>Vérifier l'envoie de MAIL</t>
  </si>
  <si>
    <t>Désactiver envoie de MAIL</t>
  </si>
  <si>
    <t>Débloquer envoie de MAIL</t>
  </si>
  <si>
    <t>Check droit portail sur PCD (everyone en read à la racine)</t>
  </si>
  <si>
    <t>Vérif: Mapping Rôle Portail / Rôle Backend</t>
  </si>
  <si>
    <t>Vérif Import KM pour FAQ</t>
  </si>
  <si>
    <t>Vérif Chargement des pictos</t>
  </si>
  <si>
    <t>Mapping Rôle Portail / Rôle Backend RC:ESS_SALARIE_PPL
Mapping Manager Transverse avec les 6 RC*MSS* (pour délégation UWL)</t>
  </si>
  <si>
    <t>Vérification page  par défaut du Portail (/irj/portal)</t>
  </si>
  <si>
    <t>Arret/redémarrage du portail PW1</t>
  </si>
  <si>
    <t>Permettre la connexion directe à un serveur NODE</t>
  </si>
  <si>
    <t>Post upgrade BackEnd</t>
  </si>
  <si>
    <t>Post upgrade FrontEnd</t>
  </si>
  <si>
    <t>Gregory</t>
  </si>
  <si>
    <t>30/08 PA : ne concerne que PRH - redémarrages ==&gt; Faisable par GREG?</t>
  </si>
  <si>
    <t>30/08 PA==&gt; Faisable par GREG?</t>
  </si>
  <si>
    <t>Vérifier le paramétagre machine (les AS de PRH) : ==&gt; Faisable par GREG?
abap/heap_area_nondia = 6442450944
abap/heap_area_total = 12884901888
rdisp/PG_MAXFS = 262144
rdisp/PG_SHM = 32768</t>
  </si>
  <si>
    <r>
      <t xml:space="preserve">Liste d'Ots à transporter
</t>
    </r>
    <r>
      <rPr>
        <b/>
        <sz val="10"/>
        <color rgb="FFFF0000"/>
        <rFont val="Arial"/>
        <family val="2"/>
      </rPr>
      <t xml:space="preserve">Liste 1 ==&gt; Qui coté VB passe les OT? OK par GREG?
</t>
    </r>
  </si>
  <si>
    <t>TPE 31/08: supp. (doublons)</t>
  </si>
  <si>
    <t>Appeler le support pour désactivation page maintenance</t>
  </si>
  <si>
    <t>DI.VB / DI.SY</t>
  </si>
  <si>
    <t>CGI / DI.VB</t>
  </si>
  <si>
    <t>PA SP</t>
  </si>
  <si>
    <t>Passer la durée de retention des backups Oracle à 10</t>
  </si>
  <si>
    <t>Déclanchement RollBacl</t>
  </si>
  <si>
    <t>Restauration BDD</t>
  </si>
  <si>
    <t>RollBack - Restauration BDD avant DownTime</t>
  </si>
  <si>
    <t>AF</t>
  </si>
  <si>
    <t>Paul ANDRE</t>
  </si>
  <si>
    <t>Restauration Binaires SAP</t>
  </si>
  <si>
    <t>Rollback - Sauvegarde binaires ECC5 DB/CI</t>
  </si>
  <si>
    <t>Restaurer (tar) /usr/sap
Restaurer (tar) /sapmnt
Restaurer (tar) les fichiers profils (.*) /home/prhadm
Restaurer (tar) les fichiers profils (.*) /home/oraprh OU /oracle/PRH (fichiers profils à la racine)</t>
  </si>
  <si>
    <t>Rollback - Sauvegarde binaires ECC5 AS#1</t>
  </si>
  <si>
    <t>Restaurer (tar) /usr/sap
Restaurer (tar) /sapmnt
Restaurer (tar) les fichiers profils (.*) /home/prhadm</t>
  </si>
  <si>
    <t>Rollback - Sauvegarde binaires ECC5 AS#2</t>
  </si>
  <si>
    <t>Rollback - Sauvegarde binaires ECC5 AS#3</t>
  </si>
  <si>
    <t>Rollback - Sauvegarde binaires ECC5 AS#4</t>
  </si>
  <si>
    <t>Rollback - Sauvegarde binaires ECC5 AS#5</t>
  </si>
  <si>
    <t>Rollback - Sauvegarde binaires ECC5 AS#6</t>
  </si>
  <si>
    <t>Rollback - Sauvegarde binaires ECC5 AS#7</t>
  </si>
  <si>
    <t>Rollback - Sauvegarde binaires ECC5 AS#8</t>
  </si>
  <si>
    <t>Rollback - Redémarrage SAP</t>
  </si>
  <si>
    <t>Rollback - Test technique avec EP</t>
  </si>
  <si>
    <t>Support CGI/David</t>
  </si>
  <si>
    <t>Reprise Nuit Applicative</t>
  </si>
  <si>
    <t>Déblocage des users techniques interface (MAESTRO, ALE*)</t>
  </si>
  <si>
    <t xml:space="preserve">Modification/suspension des messages e-services, </t>
  </si>
  <si>
    <t>Pas d'inconsistence</t>
  </si>
  <si>
    <t>Dernier numéro archivelog :  118 401 sur PRH</t>
  </si>
  <si>
    <t xml:space="preserve">Durée estimée 20 minutes mais temps réel 2 heures
</t>
  </si>
  <si>
    <t xml:space="preserve">Création du tablespaces PSAPSR3740
- PSAPSR3740 (137 Go) en auto
</t>
  </si>
  <si>
    <t xml:space="preserve">Suite aux retours d’expérience DR1 et DR2, nous augmentons les tablespaces suivants :
- PSAPSR3 (+100 Go) en auto
- SYSTEM (+1024 Mo) en auto (taille max fichier 2 Go, fichier min 1024Go, un pas de 200m)
- PSAPUNDO (+ 2Go) pas d’auto
</t>
  </si>
  <si>
    <t>Création variable Z_UPGRADE_ECC6</t>
  </si>
  <si>
    <t>Transaction STVARV, se mettre en mode modification et créer un nouvelle entrée.
Nom : Z_UPGRADE_ECC6
Valeur : date de la fermeture aux users de PRH au format aaaammjj</t>
  </si>
  <si>
    <t>30/08 PA : arret des deux portails (PW1old et new)
désactiver les template des process SAP
freeze des clusters</t>
  </si>
  <si>
    <t>INFORMATICA - Passage à la 9.6.1 + nouveaux extracteurs</t>
  </si>
  <si>
    <t>Liste des Ots en attende de validation par Sébastien HUALME, Jean-Jacques MOLE</t>
  </si>
  <si>
    <t>Attendre que les jobs suivants se terminent avant de valider l'entrée en phase de  Downtime (SM37)
-CRR_OPERATION
-RSUPG_ISU_CRR</t>
  </si>
  <si>
    <t>Import de l'OT de correction DVMK900588 - M-RH_GA-IM02303592-Remise à niveau IBAN-01 sur PRH à 10h30</t>
  </si>
  <si>
    <r>
      <t xml:space="preserve">30/08 PA : lancement manuel d'une full online
</t>
    </r>
    <r>
      <rPr>
        <sz val="10"/>
        <color rgb="FFFF0000"/>
        <rFont val="Arial"/>
        <family val="2"/>
      </rPr>
      <t>06/09: Lancée par AirFrance à 13:08</t>
    </r>
  </si>
  <si>
    <r>
      <t xml:space="preserve">30/08 PA : vérification de la fin du backup + début de restore de la full sur UCH
</t>
    </r>
    <r>
      <rPr>
        <sz val="10"/>
        <color rgb="FFFF0000"/>
        <rFont val="Arial"/>
        <family val="2"/>
      </rPr>
      <t>06/09 : Restauration en cours de la BDD sur serveur source qvipsapauh02  depuis 17h</t>
    </r>
  </si>
  <si>
    <t>Ne pas lancer l'action avant le GO pour downtime</t>
  </si>
  <si>
    <t>Demande DI.VB.SA, import E8BK900024 : DSM4 for ERP build 95 avec option "Import Transport Request Again, Overwrite Originals, Overwrite Objects in Unconfirmed Repairs et Ignore Invalid Component Version" (temps masqué avec demande import OT informatica)</t>
  </si>
  <si>
    <t>DSM : Demande Installation de DSM 4.0 Build 95</t>
  </si>
  <si>
    <t>Vérification INFORMATICA 9.6.1</t>
  </si>
  <si>
    <t>Ajustement paramétrage DSM + Contrôle</t>
  </si>
  <si>
    <t>Support</t>
  </si>
  <si>
    <t>Appeler le support pour suspendre TWS (FENCE)</t>
  </si>
  <si>
    <t>Activation  des jobs SAP</t>
  </si>
  <si>
    <t>30/08 PA : Freeze cluster etc</t>
  </si>
  <si>
    <t>Appeler le support pour suspendre TWS</t>
  </si>
  <si>
    <t>Vérification de la photo</t>
  </si>
  <si>
    <t>CCSAP / Emmanuel / DI.NR</t>
  </si>
  <si>
    <t>Ajouter par ELAI le 08/09/16 : 
Visualiser la photo sur le portail.
En cas de problème, consulter la FDS 937573</t>
  </si>
  <si>
    <t>CCSAP / DI.VB</t>
  </si>
  <si>
    <t>Demande DI.VB.SA, import E8BK900024 : DSM4 for ERP build 95 avec option "Import Transport Request Again, Overwrite Originals, Overwrite Objects in Unconfirmed Repairs et Ignore Invalid Component Version" (temps masqué)</t>
  </si>
  <si>
    <t>Transport OT DSM</t>
  </si>
  <si>
    <t>DVHK960967</t>
  </si>
  <si>
    <t>DVHK960969</t>
  </si>
  <si>
    <t>DVHK960870</t>
  </si>
  <si>
    <t>DVHK960979</t>
  </si>
  <si>
    <t>DVHK960975</t>
  </si>
  <si>
    <t>DVHK960977</t>
  </si>
  <si>
    <t>DVHK960985</t>
  </si>
  <si>
    <t>DVHK960989</t>
  </si>
  <si>
    <t>DVHK960991</t>
  </si>
  <si>
    <t>DVHK961005</t>
  </si>
  <si>
    <t>Liste 10</t>
  </si>
  <si>
    <t>DVHK960481</t>
  </si>
  <si>
    <t>DVHK960482</t>
  </si>
  <si>
    <t>DVHK960585</t>
  </si>
  <si>
    <t>DVHK960487</t>
  </si>
  <si>
    <t>DVHK960535</t>
  </si>
  <si>
    <t>DVHK960536</t>
  </si>
  <si>
    <t>DVHK960538</t>
  </si>
  <si>
    <t>DVHK960612</t>
  </si>
  <si>
    <t>DVHK960628</t>
  </si>
  <si>
    <t>DVHK960669</t>
  </si>
  <si>
    <t>DVHK960671</t>
  </si>
  <si>
    <t>DVHK960864</t>
  </si>
  <si>
    <t>DVHK960771</t>
  </si>
  <si>
    <t>DVHK960995</t>
  </si>
  <si>
    <t>E8BK900024</t>
  </si>
  <si>
    <r>
      <t xml:space="preserve">Liste d'Ots à transporter
</t>
    </r>
    <r>
      <rPr>
        <b/>
        <sz val="10"/>
        <color indexed="18"/>
        <rFont val="Arial"/>
        <family val="2"/>
      </rPr>
      <t>Listes 9 et 10</t>
    </r>
    <r>
      <rPr>
        <sz val="10"/>
        <color indexed="18"/>
        <rFont val="Arial"/>
        <family val="2"/>
      </rPr>
      <t xml:space="preserve">
Attention à bien prendre en compte également les Ots de Julien TWS (2 Ots TV1K*) + Informatica (13 OT DVHK*)
</t>
    </r>
  </si>
  <si>
    <t>Créer 3 Ots dans l'environnement source :
PRHK900142
PRHK900141
PRHK900140
PRHK900139
et les libérer
Demander la création des Ots à Julien par FDS</t>
  </si>
  <si>
    <r>
      <t>OT SPDD :</t>
    </r>
    <r>
      <rPr>
        <sz val="10"/>
        <color rgb="FF92D050"/>
        <rFont val="Arial"/>
        <family val="2"/>
      </rPr>
      <t xml:space="preserve"> DVHK960007, DVHK960090 et DVHK960018</t>
    </r>
    <r>
      <rPr>
        <sz val="10"/>
        <color indexed="18"/>
        <rFont val="Arial"/>
        <family val="2"/>
      </rPr>
      <t xml:space="preserve"> (pas de journal des transports mais si les 2 autres sont passés, c'est OK) et </t>
    </r>
    <r>
      <rPr>
        <sz val="10"/>
        <color rgb="FFFF0000"/>
        <rFont val="Arial"/>
        <family val="2"/>
      </rPr>
      <t>DVHK960015.
==&gt; REX sur cet OT, retransporté le 25/08.</t>
    </r>
    <r>
      <rPr>
        <sz val="10"/>
        <color indexed="18"/>
        <rFont val="Arial"/>
        <family val="2"/>
      </rPr>
      <t xml:space="preserve">
OT HERCULE : 
A passer obligatoirement  
A importer un par un :
</t>
    </r>
    <r>
      <rPr>
        <sz val="10"/>
        <color rgb="FF92D050"/>
        <rFont val="Arial"/>
        <family val="2"/>
      </rPr>
      <t>-DVHK955110
-DVHK960027
-DVHK955110
-DVHK955108</t>
    </r>
    <r>
      <rPr>
        <sz val="10"/>
        <color indexed="18"/>
        <rFont val="Arial"/>
        <family val="2"/>
      </rPr>
      <t xml:space="preserve">
+ OTs de données dépendants du système et à refaire à chaque fois.
Les 4 Ots de sauvegarde des données Hercule : (non valide pour le DR1 PPHK900011 , PPHK900012 , PPHK900013 , PRHK900135)
OTs de Julien importés dans le DR2
</t>
    </r>
    <r>
      <rPr>
        <sz val="10"/>
        <color rgb="FF92D050"/>
        <rFont val="Arial"/>
        <family val="2"/>
      </rPr>
      <t>PRHK900142
PRHK900141
PRHK900140
PRHK900139</t>
    </r>
    <r>
      <rPr>
        <sz val="10"/>
        <color indexed="18"/>
        <rFont val="Arial"/>
        <family val="2"/>
      </rPr>
      <t xml:space="preserve">
3 Ots sauvegarde des données HERCULE pour FRH : FRHK900047 , FRHK900048 , FRHK900049</t>
    </r>
  </si>
  <si>
    <t>30/08 PA : noter le numéro de séquence pour rolback
09/09 - Numéro de séquence 119732</t>
  </si>
  <si>
    <t>A importer un par un :
- DVHK955110
- DVHK960027
- DVHK955110
- DVHK955108
A importer en même temps : (prendre les nouveaux OTs de Julien)
PRHK900142
PRHK900141
PRHK900140
PRHK900139</t>
  </si>
  <si>
    <t>1 heure d'avance en terme de traitement (2h au lieu de 3)</t>
  </si>
  <si>
    <t>SPAU : derniers ajustements à réaliser en parallèle
Penser à donner les droits suffisants à SPAU-SPDD pour le chantier DEV sur les environnements
08/09 - Problème de nombre de process batch : la configuration n'était pas chargée en RZ10 et RZ04.</t>
  </si>
  <si>
    <t>SAPInst : Installation AS sur QVIPBSAPAH03</t>
  </si>
  <si>
    <t>SAPInst : Installation AS sur QVIPBSAPAH04</t>
  </si>
  <si>
    <t>SAPInst : Installation AS sur QVIPBSAPAH05</t>
  </si>
  <si>
    <t>SAPInst : Installation AS sur QVIPBSAPAH06</t>
  </si>
  <si>
    <t>SAPInst : Installation AS sur QVIPBSAPAH07</t>
  </si>
  <si>
    <t>SAPInst : Installation AS sur QVIPBSAPAH08</t>
  </si>
  <si>
    <t>SAPInst : Installation AS sur QVIPBSAPAH09</t>
  </si>
  <si>
    <t>SAPInst : Installation AS sur QVIPBSAPAH10</t>
  </si>
  <si>
    <t>A faire sur les 8 AS</t>
  </si>
  <si>
    <t>Action anticipée</t>
  </si>
  <si>
    <t>Anticipée</t>
  </si>
  <si>
    <t>Numéro d'instance : 00
Veiller à ce que le montage NFS pour /sapmnt/PPH/exe soit paramétré avec l'option no_root_squash
Supprimer le contenu du répertoire /usr/sap/PPH/SYS/exe contenant des anciens liens symboliques</t>
  </si>
  <si>
    <t>SAPInst : Installation AS sur PAS QVIPBSAPAH02</t>
  </si>
  <si>
    <t>Numéro d'instance : 01</t>
  </si>
  <si>
    <r>
      <t xml:space="preserve">Import de l'OT </t>
    </r>
    <r>
      <rPr>
        <b/>
        <sz val="10"/>
        <color indexed="18"/>
        <rFont val="Arial"/>
        <family val="2"/>
      </rPr>
      <t>DVHK960029</t>
    </r>
    <r>
      <rPr>
        <sz val="10"/>
        <color indexed="18"/>
        <rFont val="Arial"/>
        <family val="2"/>
      </rPr>
      <t xml:space="preserve"> - contenant les actions faîtes sur DVH. 
Augmenter à 120 GO sur PSAPUNDO et au moins 30 GO pour PSAPTEMP sinon interruption de l'opération durant la nuit
Le depooling sur la table CDPOS dure plus de 10 heures lors du DR2.
Action relancée à 20h30</t>
    </r>
  </si>
  <si>
    <t xml:space="preserve">CF defect 23
Pour vérifier que les traductions sont à faire, ZHORAIRES / Gestion des horaires PRP, RPR / 01 / Non / 
Vérifier que  la zone NB RTT Hebdo en Zone 14  et que HrRmCY dans la 15.
Si KO :
Aller en SE11, voir les traductions pour les éléments de données M2STD et JRSTD. Faut valider les traduction…
Mettre Langue source DE
Langue cible FR
Mettre à jour avec ce qu'il y a en DVH 200 ou QSH
</t>
  </si>
  <si>
    <t>+ CF Defect 501 - voir mode opératoire d'Anne Saintpierre pour la traduction de WWEEK</t>
  </si>
  <si>
    <t>Reporté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</si>
</sst>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d/m/yy\ h:mm;@"/>
  </numFmts>
  <fonts count="52" x14ac:knownFonts="1">
    <font>
      <sz val="10"/>
      <name val="Arial"/>
    </font>
    <font>
      <b/>
      <sz val="10"/>
      <color indexed="9"/>
      <name val="Arial"/>
      <family val="2"/>
    </font>
    <font>
      <b/>
      <sz val="10"/>
      <color indexed="18"/>
      <name val="Arial"/>
      <family val="2"/>
    </font>
    <font>
      <b/>
      <sz val="10"/>
      <color indexed="56"/>
      <name val="Arial"/>
      <family val="2"/>
    </font>
    <font>
      <sz val="10"/>
      <color indexed="9"/>
      <name val="Arial"/>
      <family val="2"/>
    </font>
    <font>
      <b/>
      <sz val="10"/>
      <color indexed="44"/>
      <name val="Arial"/>
      <family val="2"/>
    </font>
    <font>
      <i/>
      <sz val="10"/>
      <name val="Arial"/>
      <family val="2"/>
    </font>
    <font>
      <b/>
      <i/>
      <sz val="10"/>
      <color indexed="56"/>
      <name val="Arial"/>
      <family val="2"/>
    </font>
    <font>
      <sz val="10"/>
      <color indexed="18"/>
      <name val="Arial"/>
      <family val="2"/>
    </font>
    <font>
      <sz val="10"/>
      <color indexed="20"/>
      <name val="Arial"/>
      <family val="2"/>
    </font>
    <font>
      <sz val="10"/>
      <name val="Arial"/>
      <family val="2"/>
    </font>
    <font>
      <b/>
      <sz val="10"/>
      <color rgb="FFFF0000"/>
      <name val="Arial"/>
      <family val="2"/>
    </font>
    <font>
      <sz val="10"/>
      <color indexed="10"/>
      <name val="Arial"/>
      <family val="2"/>
    </font>
    <font>
      <sz val="10"/>
      <color indexed="8"/>
      <name val="Arial"/>
      <family val="2"/>
    </font>
    <font>
      <b/>
      <sz val="10"/>
      <color indexed="52"/>
      <name val="Arial"/>
      <family val="2"/>
    </font>
    <font>
      <sz val="10"/>
      <color indexed="52"/>
      <name val="Arial"/>
      <family val="2"/>
    </font>
    <font>
      <sz val="10"/>
      <color indexed="62"/>
      <name val="Arial"/>
      <family val="2"/>
    </font>
    <font>
      <sz val="10"/>
      <color indexed="60"/>
      <name val="Arial"/>
      <family val="2"/>
    </font>
    <font>
      <sz val="10"/>
      <color indexed="17"/>
      <name val="Arial"/>
      <family val="2"/>
    </font>
    <font>
      <b/>
      <sz val="10"/>
      <color indexed="63"/>
      <name val="Arial"/>
      <family val="2"/>
    </font>
    <font>
      <i/>
      <sz val="10"/>
      <color indexed="23"/>
      <name val="Arial"/>
      <family val="2"/>
    </font>
    <font>
      <b/>
      <sz val="18"/>
      <color indexed="56"/>
      <name val="Cambria"/>
      <family val="2"/>
    </font>
    <font>
      <b/>
      <sz val="15"/>
      <color indexed="56"/>
      <name val="Arial"/>
      <family val="2"/>
    </font>
    <font>
      <b/>
      <sz val="13"/>
      <color indexed="56"/>
      <name val="Arial"/>
      <family val="2"/>
    </font>
    <font>
      <b/>
      <sz val="11"/>
      <color indexed="56"/>
      <name val="Arial"/>
      <family val="2"/>
    </font>
    <font>
      <sz val="11"/>
      <color indexed="8"/>
      <name val="Calibri"/>
      <family val="2"/>
    </font>
    <font>
      <sz val="10"/>
      <color theme="1"/>
      <name val="Arial"/>
      <family val="2"/>
    </font>
    <font>
      <i/>
      <sz val="10"/>
      <color indexed="20"/>
      <name val="Arial"/>
      <family val="2"/>
    </font>
    <font>
      <b/>
      <sz val="10"/>
      <color theme="6"/>
      <name val="Arial"/>
      <family val="2"/>
    </font>
    <font>
      <sz val="10"/>
      <color rgb="FFFF0000"/>
      <name val="Arial"/>
      <family val="2"/>
    </font>
    <font>
      <b/>
      <sz val="10"/>
      <name val="Arial"/>
      <family val="2"/>
    </font>
    <font>
      <i/>
      <sz val="10"/>
      <color theme="3" tint="-0.249977111117893"/>
      <name val="Arial"/>
      <family val="2"/>
    </font>
    <font>
      <sz val="10"/>
      <color theme="7"/>
      <name val="Arial"/>
      <family val="2"/>
    </font>
    <font>
      <sz val="10"/>
      <color theme="4"/>
      <name val="Arial"/>
      <family val="2"/>
    </font>
    <font>
      <i/>
      <sz val="10"/>
      <color theme="0"/>
      <name val="Arial"/>
      <family val="2"/>
    </font>
    <font>
      <b/>
      <sz val="9"/>
      <color indexed="81"/>
      <name val="Tahoma"/>
      <family val="2"/>
    </font>
    <font>
      <sz val="10"/>
      <color indexed="18"/>
      <name val="Arial"/>
      <family val="2"/>
    </font>
    <font>
      <b/>
      <sz val="10"/>
      <color rgb="FF00B050"/>
      <name val="Arial"/>
      <family val="2"/>
    </font>
    <font>
      <b/>
      <u/>
      <sz val="10"/>
      <color indexed="18"/>
      <name val="Arial"/>
      <family val="2"/>
    </font>
    <font>
      <sz val="10"/>
      <color rgb="FF92D050"/>
      <name val="Arial"/>
      <family val="2"/>
    </font>
    <font>
      <strike/>
      <sz val="10"/>
      <name val="Arial"/>
      <family val="2"/>
    </font>
    <font>
      <strike/>
      <sz val="10"/>
      <color indexed="18"/>
      <name val="Arial"/>
      <family val="2"/>
    </font>
    <font>
      <b/>
      <strike/>
      <sz val="10"/>
      <color indexed="18"/>
      <name val="Arial"/>
      <family val="2"/>
    </font>
    <font>
      <strike/>
      <sz val="10"/>
      <color indexed="20"/>
      <name val="Arial"/>
      <family val="2"/>
    </font>
    <font>
      <b/>
      <i/>
      <sz val="10"/>
      <color theme="0"/>
      <name val="Arial"/>
      <family val="2"/>
    </font>
    <font>
      <sz val="10"/>
      <color indexed="18"/>
      <name val="Arial"/>
      <family val="2"/>
    </font>
    <font>
      <strike/>
      <sz val="10"/>
      <color rgb="FFFF0000"/>
      <name val="Arial"/>
      <family val="2"/>
    </font>
    <font>
      <sz val="10"/>
      <color indexed="18"/>
      <name val="Arial"/>
      <family val="2"/>
    </font>
    <font>
      <sz val="10"/>
      <color indexed="20"/>
      <name val="Arial"/>
      <family val="2"/>
    </font>
    <font>
      <sz val="10"/>
      <color theme="1"/>
      <name val="Arial"/>
      <family val="2"/>
    </font>
    <font>
      <sz val="10"/>
      <color indexed="18"/>
      <name val="Arial"/>
      <family val="2"/>
    </font>
    <font>
      <sz val="10"/>
      <color indexed="18"/>
      <name val="Arial"/>
    </font>
  </fonts>
  <fills count="41">
    <fill>
      <patternFill patternType="none"/>
    </fill>
    <fill>
      <patternFill patternType="gray125"/>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theme="1" tint="0.249977111117893"/>
        <bgColor indexed="64"/>
      </patternFill>
    </fill>
    <fill>
      <patternFill patternType="solid">
        <fgColor theme="0" tint="-0.34998626667073579"/>
        <bgColor indexed="64"/>
      </patternFill>
    </fill>
    <fill>
      <patternFill patternType="solid">
        <fgColor theme="7"/>
        <bgColor indexed="64"/>
      </patternFill>
    </fill>
    <fill>
      <patternFill patternType="solid">
        <fgColor theme="4"/>
        <bgColor indexed="64"/>
      </patternFill>
    </fill>
    <fill>
      <patternFill patternType="solid">
        <fgColor theme="1"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rgb="FF92D050"/>
        <bgColor indexed="64"/>
      </patternFill>
    </fill>
    <fill>
      <patternFill patternType="solid">
        <fgColor theme="0" tint="-0.499984740745262"/>
        <bgColor indexed="64"/>
      </patternFill>
    </fill>
    <fill>
      <patternFill patternType="solid">
        <fgColor theme="6"/>
        <bgColor indexed="64"/>
      </patternFill>
    </fill>
    <fill>
      <patternFill patternType="solid">
        <fgColor rgb="FFFFC000"/>
        <bgColor indexed="64"/>
      </patternFill>
    </fill>
    <fill>
      <patternFill patternType="solid">
        <fgColor rgb="FFFFCC00"/>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249977111117893"/>
        <bgColor indexed="64"/>
      </patternFill>
    </fill>
    <fill>
      <patternFill patternType="solid">
        <fgColor rgb="FF0070C0"/>
        <bgColor indexed="64"/>
      </patternFill>
    </fill>
  </fills>
  <borders count="27">
    <border>
      <left/>
      <right/>
      <top/>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hair">
        <color indexed="64"/>
      </left>
      <right style="hair">
        <color indexed="64"/>
      </right>
      <top/>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diagonal/>
    </border>
    <border>
      <left/>
      <right/>
      <top style="thin">
        <color theme="4" tint="0.39997558519241921"/>
      </top>
      <bottom style="thin">
        <color theme="4" tint="0.39997558519241921"/>
      </bottom>
      <diagonal/>
    </border>
  </borders>
  <cellStyleXfs count="44">
    <xf numFmtId="0" fontId="0" fillId="0" borderId="0"/>
    <xf numFmtId="0" fontId="6" fillId="0" borderId="0" applyNumberFormat="0" applyFill="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13"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9" fillId="6" borderId="0" applyNumberFormat="0" applyBorder="0" applyAlignment="0" applyProtection="0"/>
    <xf numFmtId="0" fontId="14" fillId="19" borderId="2" applyNumberFormat="0" applyAlignment="0" applyProtection="0"/>
    <xf numFmtId="0" fontId="1" fillId="20" borderId="4" applyNumberFormat="0" applyAlignment="0" applyProtection="0"/>
    <xf numFmtId="0" fontId="20" fillId="0" borderId="0" applyNumberFormat="0" applyFill="0" applyBorder="0" applyAlignment="0" applyProtection="0"/>
    <xf numFmtId="0" fontId="18" fillId="7" borderId="0" applyNumberFormat="0" applyBorder="0" applyAlignment="0" applyProtection="0"/>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16" fillId="10" borderId="2" applyNumberFormat="0" applyAlignment="0" applyProtection="0"/>
    <xf numFmtId="0" fontId="15" fillId="0" borderId="3" applyNumberFormat="0" applyFill="0" applyAlignment="0" applyProtection="0"/>
    <xf numFmtId="0" fontId="17" fillId="22" borderId="0" applyNumberFormat="0" applyBorder="0" applyAlignment="0" applyProtection="0"/>
    <xf numFmtId="0" fontId="10" fillId="0" borderId="0"/>
    <xf numFmtId="0" fontId="10" fillId="0" borderId="0"/>
    <xf numFmtId="0" fontId="13" fillId="0" borderId="0"/>
    <xf numFmtId="0" fontId="10" fillId="21" borderId="5" applyNumberFormat="0" applyFont="0" applyAlignment="0" applyProtection="0"/>
    <xf numFmtId="0" fontId="19" fillId="19" borderId="9" applyNumberFormat="0" applyAlignment="0" applyProtection="0"/>
    <xf numFmtId="0" fontId="21" fillId="0" borderId="0" applyNumberFormat="0" applyFill="0" applyBorder="0" applyAlignment="0" applyProtection="0"/>
    <xf numFmtId="0" fontId="12" fillId="0" borderId="0" applyNumberFormat="0" applyFill="0" applyBorder="0" applyAlignment="0" applyProtection="0"/>
    <xf numFmtId="0" fontId="26" fillId="0" borderId="0"/>
  </cellStyleXfs>
  <cellXfs count="283">
    <xf numFmtId="0" fontId="0" fillId="0" borderId="0" xfId="0"/>
    <xf numFmtId="0" fontId="30" fillId="0" borderId="16" xfId="36" applyFont="1" applyBorder="1" applyAlignment="1">
      <alignment horizontal="center"/>
    </xf>
    <xf numFmtId="0" fontId="1" fillId="2" borderId="0" xfId="0" applyFont="1" applyFill="1" applyBorder="1" applyAlignment="1">
      <alignment vertical="center"/>
    </xf>
    <xf numFmtId="0" fontId="2" fillId="0" borderId="0" xfId="0" applyFont="1" applyAlignment="1">
      <alignment vertical="center"/>
    </xf>
    <xf numFmtId="0" fontId="6" fillId="0" borderId="0" xfId="1" applyFont="1" applyAlignment="1">
      <alignment vertical="center"/>
    </xf>
    <xf numFmtId="0" fontId="10" fillId="0" borderId="0" xfId="0" applyFont="1" applyAlignment="1">
      <alignment horizontal="left"/>
    </xf>
    <xf numFmtId="0" fontId="1" fillId="3" borderId="0" xfId="0" applyFont="1" applyFill="1" applyBorder="1" applyAlignment="1">
      <alignment vertical="center"/>
    </xf>
    <xf numFmtId="0" fontId="3" fillId="3" borderId="0" xfId="0" applyFont="1" applyFill="1" applyBorder="1" applyAlignment="1">
      <alignment vertical="center"/>
    </xf>
    <xf numFmtId="0" fontId="4" fillId="3" borderId="0" xfId="0" applyFont="1" applyFill="1" applyBorder="1" applyAlignment="1">
      <alignment vertical="center" wrapText="1"/>
    </xf>
    <xf numFmtId="0" fontId="4" fillId="3" borderId="0" xfId="0" applyFont="1" applyFill="1" applyBorder="1" applyAlignment="1">
      <alignment vertical="center"/>
    </xf>
    <xf numFmtId="14" fontId="4" fillId="3" borderId="0" xfId="0" applyNumberFormat="1" applyFont="1" applyFill="1" applyBorder="1" applyAlignment="1">
      <alignment vertical="center"/>
    </xf>
    <xf numFmtId="0" fontId="4" fillId="0" borderId="0" xfId="0" applyFont="1" applyFill="1" applyAlignment="1">
      <alignment vertical="center"/>
    </xf>
    <xf numFmtId="0" fontId="5" fillId="3" borderId="0" xfId="0" applyFont="1" applyFill="1" applyBorder="1" applyAlignment="1">
      <alignment vertical="center"/>
    </xf>
    <xf numFmtId="0" fontId="1" fillId="4" borderId="0" xfId="0" applyFont="1" applyFill="1" applyBorder="1" applyAlignment="1">
      <alignment vertical="center"/>
    </xf>
    <xf numFmtId="0" fontId="8" fillId="0" borderId="1" xfId="0" applyFont="1" applyBorder="1" applyAlignment="1">
      <alignment vertical="center" wrapText="1"/>
    </xf>
    <xf numFmtId="164" fontId="8" fillId="0" borderId="1" xfId="0" applyNumberFormat="1" applyFont="1" applyBorder="1" applyAlignment="1">
      <alignment vertical="center" wrapText="1"/>
    </xf>
    <xf numFmtId="165" fontId="8" fillId="0" borderId="1" xfId="0" applyNumberFormat="1" applyFont="1" applyBorder="1" applyAlignment="1">
      <alignment vertical="center" wrapText="1"/>
    </xf>
    <xf numFmtId="0" fontId="9" fillId="0" borderId="1" xfId="0" applyFont="1" applyBorder="1" applyAlignment="1">
      <alignment vertical="center" wrapText="1"/>
    </xf>
    <xf numFmtId="0" fontId="10" fillId="0" borderId="0" xfId="0" applyFont="1"/>
    <xf numFmtId="0" fontId="1" fillId="2" borderId="0" xfId="36" applyFont="1" applyFill="1" applyBorder="1" applyAlignment="1">
      <alignment horizontal="center" vertical="center"/>
    </xf>
    <xf numFmtId="0" fontId="1" fillId="2" borderId="0" xfId="36" applyFont="1" applyFill="1" applyBorder="1" applyAlignment="1">
      <alignment horizontal="center" vertical="center" wrapText="1"/>
    </xf>
    <xf numFmtId="14" fontId="1" fillId="2" borderId="0" xfId="36" applyNumberFormat="1" applyFont="1" applyFill="1" applyBorder="1" applyAlignment="1">
      <alignment horizontal="center" vertical="center"/>
    </xf>
    <xf numFmtId="0" fontId="5" fillId="3" borderId="0" xfId="36" applyFont="1" applyFill="1" applyBorder="1" applyAlignment="1">
      <alignment vertical="center"/>
    </xf>
    <xf numFmtId="0" fontId="7" fillId="4" borderId="0" xfId="1" applyFont="1" applyFill="1" applyBorder="1" applyAlignment="1">
      <alignment vertical="center"/>
    </xf>
    <xf numFmtId="0" fontId="6" fillId="4" borderId="0" xfId="1" applyFont="1" applyFill="1" applyBorder="1" applyAlignment="1">
      <alignment vertical="center"/>
    </xf>
    <xf numFmtId="0" fontId="6" fillId="4" borderId="0" xfId="1" applyFont="1" applyFill="1" applyBorder="1" applyAlignment="1">
      <alignment vertical="center" wrapText="1"/>
    </xf>
    <xf numFmtId="14" fontId="6" fillId="4" borderId="0" xfId="1" applyNumberFormat="1" applyFont="1" applyFill="1" applyBorder="1" applyAlignment="1">
      <alignment vertical="center"/>
    </xf>
    <xf numFmtId="0" fontId="27" fillId="4" borderId="0" xfId="1" applyFont="1" applyFill="1" applyBorder="1" applyAlignment="1">
      <alignment vertical="center"/>
    </xf>
    <xf numFmtId="0" fontId="2" fillId="0" borderId="1" xfId="0" applyFont="1" applyBorder="1" applyAlignment="1">
      <alignment vertical="center" wrapText="1"/>
    </xf>
    <xf numFmtId="0" fontId="9" fillId="0" borderId="1" xfId="0" applyFont="1" applyBorder="1" applyAlignment="1">
      <alignment horizontal="center" vertical="center" wrapText="1"/>
    </xf>
    <xf numFmtId="0" fontId="27" fillId="4" borderId="0" xfId="1" applyFont="1" applyFill="1" applyBorder="1" applyAlignment="1">
      <alignment horizontal="center" vertical="center"/>
    </xf>
    <xf numFmtId="0" fontId="28" fillId="0" borderId="1" xfId="0" applyFont="1" applyBorder="1" applyAlignment="1">
      <alignment vertical="center" wrapText="1"/>
    </xf>
    <xf numFmtId="165" fontId="8" fillId="0" borderId="1" xfId="0" quotePrefix="1" applyNumberFormat="1" applyFont="1" applyBorder="1" applyAlignment="1">
      <alignment vertical="center" wrapText="1"/>
    </xf>
    <xf numFmtId="21" fontId="8" fillId="0" borderId="1" xfId="0" applyNumberFormat="1" applyFont="1" applyBorder="1" applyAlignment="1">
      <alignment vertical="center" wrapText="1"/>
    </xf>
    <xf numFmtId="0" fontId="8" fillId="0" borderId="1" xfId="0" quotePrefix="1" applyFont="1" applyBorder="1" applyAlignment="1">
      <alignment vertical="center" wrapText="1"/>
    </xf>
    <xf numFmtId="0" fontId="7" fillId="23" borderId="0" xfId="1" applyFont="1" applyFill="1" applyBorder="1" applyAlignment="1">
      <alignment vertical="center"/>
    </xf>
    <xf numFmtId="0" fontId="5" fillId="23" borderId="0" xfId="36" applyFont="1" applyFill="1" applyBorder="1" applyAlignment="1">
      <alignment vertical="center"/>
    </xf>
    <xf numFmtId="0" fontId="5" fillId="23" borderId="0" xfId="0" applyFont="1" applyFill="1" applyBorder="1" applyAlignment="1">
      <alignment vertical="center"/>
    </xf>
    <xf numFmtId="0" fontId="8" fillId="24" borderId="1" xfId="0" applyFont="1" applyFill="1" applyBorder="1" applyAlignment="1">
      <alignment vertical="center" wrapText="1"/>
    </xf>
    <xf numFmtId="0" fontId="9" fillId="24" borderId="1" xfId="0" applyFont="1" applyFill="1" applyBorder="1" applyAlignment="1">
      <alignment horizontal="center" vertical="center" wrapText="1"/>
    </xf>
    <xf numFmtId="0" fontId="9" fillId="24" borderId="1" xfId="0" applyFont="1" applyFill="1" applyBorder="1" applyAlignment="1">
      <alignment vertical="center" wrapText="1"/>
    </xf>
    <xf numFmtId="0" fontId="28" fillId="24" borderId="1" xfId="0" applyFont="1" applyFill="1" applyBorder="1" applyAlignment="1">
      <alignment vertical="center" wrapText="1"/>
    </xf>
    <xf numFmtId="21" fontId="8" fillId="24" borderId="1" xfId="0" applyNumberFormat="1" applyFont="1" applyFill="1" applyBorder="1" applyAlignment="1">
      <alignment vertical="center" wrapText="1"/>
    </xf>
    <xf numFmtId="165" fontId="8" fillId="24" borderId="1" xfId="0" applyNumberFormat="1" applyFont="1" applyFill="1" applyBorder="1" applyAlignment="1">
      <alignment vertical="center" wrapText="1"/>
    </xf>
    <xf numFmtId="22" fontId="8" fillId="24" borderId="1" xfId="0" applyNumberFormat="1" applyFont="1" applyFill="1" applyBorder="1" applyAlignment="1">
      <alignment vertical="center" wrapText="1"/>
    </xf>
    <xf numFmtId="0" fontId="8" fillId="23" borderId="0" xfId="0" applyFont="1" applyFill="1" applyBorder="1" applyAlignment="1">
      <alignment vertical="center" wrapText="1"/>
    </xf>
    <xf numFmtId="0" fontId="9" fillId="23" borderId="0" xfId="0" applyFont="1" applyFill="1" applyBorder="1" applyAlignment="1">
      <alignment horizontal="center" vertical="center" wrapText="1"/>
    </xf>
    <xf numFmtId="0" fontId="9" fillId="23" borderId="0" xfId="0" applyFont="1" applyFill="1" applyBorder="1" applyAlignment="1">
      <alignment vertical="center" wrapText="1"/>
    </xf>
    <xf numFmtId="0" fontId="28" fillId="23" borderId="0" xfId="0" applyFont="1" applyFill="1" applyBorder="1" applyAlignment="1">
      <alignment vertical="center" wrapText="1"/>
    </xf>
    <xf numFmtId="21" fontId="8" fillId="23" borderId="0" xfId="0" applyNumberFormat="1" applyFont="1" applyFill="1" applyBorder="1" applyAlignment="1">
      <alignment vertical="center" wrapText="1"/>
    </xf>
    <xf numFmtId="22" fontId="8" fillId="23" borderId="0" xfId="0" applyNumberFormat="1" applyFont="1" applyFill="1" applyBorder="1" applyAlignment="1">
      <alignment vertical="center" wrapText="1"/>
    </xf>
    <xf numFmtId="165" fontId="8" fillId="23" borderId="0" xfId="0" applyNumberFormat="1" applyFont="1" applyFill="1" applyBorder="1" applyAlignment="1">
      <alignment vertical="center" wrapText="1"/>
    </xf>
    <xf numFmtId="0" fontId="1" fillId="4" borderId="0" xfId="36" applyFont="1" applyFill="1" applyBorder="1" applyAlignment="1">
      <alignment vertical="center"/>
    </xf>
    <xf numFmtId="0" fontId="6" fillId="4" borderId="0" xfId="1" applyFont="1" applyFill="1" applyBorder="1" applyAlignment="1">
      <alignment horizontal="left" vertical="center"/>
    </xf>
    <xf numFmtId="0" fontId="8" fillId="0" borderId="0" xfId="0" applyFont="1" applyFill="1" applyBorder="1" applyAlignment="1">
      <alignment vertical="center" wrapText="1"/>
    </xf>
    <xf numFmtId="0" fontId="9" fillId="0" borderId="0" xfId="36" applyFont="1" applyFill="1" applyBorder="1" applyAlignment="1">
      <alignment vertical="center" wrapText="1"/>
    </xf>
    <xf numFmtId="0" fontId="8" fillId="0" borderId="1" xfId="36" applyFont="1" applyFill="1" applyBorder="1" applyAlignment="1">
      <alignment vertical="center" wrapText="1"/>
    </xf>
    <xf numFmtId="164" fontId="8" fillId="0" borderId="0" xfId="36" applyNumberFormat="1" applyFont="1" applyFill="1" applyBorder="1" applyAlignment="1">
      <alignment vertical="center" wrapText="1"/>
    </xf>
    <xf numFmtId="165" fontId="8" fillId="0" borderId="0" xfId="36" applyNumberFormat="1" applyFont="1" applyFill="1" applyBorder="1" applyAlignment="1">
      <alignment vertical="center" wrapText="1"/>
    </xf>
    <xf numFmtId="164" fontId="8" fillId="0" borderId="0" xfId="0" applyNumberFormat="1" applyFont="1" applyBorder="1" applyAlignment="1">
      <alignment vertical="center" wrapText="1"/>
    </xf>
    <xf numFmtId="165" fontId="8" fillId="0" borderId="0" xfId="0" applyNumberFormat="1" applyFont="1" applyBorder="1" applyAlignment="1">
      <alignment vertical="center" wrapText="1"/>
    </xf>
    <xf numFmtId="0" fontId="9" fillId="0" borderId="1" xfId="36" applyFont="1" applyBorder="1" applyAlignment="1">
      <alignment vertical="center" wrapText="1"/>
    </xf>
    <xf numFmtId="0" fontId="1" fillId="26" borderId="0" xfId="36" applyFont="1" applyFill="1" applyBorder="1" applyAlignment="1">
      <alignment vertical="center"/>
    </xf>
    <xf numFmtId="0" fontId="9" fillId="0" borderId="1" xfId="36" applyFont="1" applyFill="1" applyBorder="1" applyAlignment="1">
      <alignment vertical="center" wrapText="1"/>
    </xf>
    <xf numFmtId="0" fontId="29" fillId="0" borderId="1" xfId="0" applyFont="1" applyBorder="1" applyAlignment="1">
      <alignment vertical="center" wrapText="1"/>
    </xf>
    <xf numFmtId="0" fontId="9" fillId="0" borderId="1" xfId="0" applyFont="1" applyFill="1" applyBorder="1" applyAlignment="1">
      <alignment vertical="center" wrapText="1"/>
    </xf>
    <xf numFmtId="0" fontId="8" fillId="0" borderId="1" xfId="0" applyFont="1" applyFill="1" applyBorder="1" applyAlignment="1">
      <alignment vertical="center" wrapText="1"/>
    </xf>
    <xf numFmtId="164" fontId="8" fillId="0" borderId="1" xfId="0" applyNumberFormat="1" applyFont="1" applyFill="1" applyBorder="1" applyAlignment="1">
      <alignment vertical="center" wrapText="1"/>
    </xf>
    <xf numFmtId="165" fontId="8" fillId="0" borderId="1" xfId="0" applyNumberFormat="1" applyFont="1" applyFill="1" applyBorder="1" applyAlignment="1">
      <alignment vertical="center" wrapText="1"/>
    </xf>
    <xf numFmtId="0" fontId="1" fillId="3" borderId="0" xfId="36" applyFont="1" applyFill="1" applyBorder="1" applyAlignment="1">
      <alignment vertical="center"/>
    </xf>
    <xf numFmtId="0" fontId="3" fillId="3" borderId="0" xfId="36" applyFont="1" applyFill="1" applyBorder="1" applyAlignment="1">
      <alignment vertical="center"/>
    </xf>
    <xf numFmtId="0" fontId="4" fillId="3" borderId="0" xfId="36" applyFont="1" applyFill="1" applyBorder="1" applyAlignment="1">
      <alignment vertical="center" wrapText="1"/>
    </xf>
    <xf numFmtId="0" fontId="4" fillId="3" borderId="0" xfId="36" applyFont="1" applyFill="1" applyBorder="1" applyAlignment="1">
      <alignment vertical="center"/>
    </xf>
    <xf numFmtId="0" fontId="4" fillId="3" borderId="0" xfId="36" applyFont="1" applyFill="1" applyBorder="1" applyAlignment="1">
      <alignment horizontal="left" vertical="center"/>
    </xf>
    <xf numFmtId="14" fontId="4" fillId="3" borderId="0" xfId="36" applyNumberFormat="1" applyFont="1" applyFill="1" applyBorder="1" applyAlignment="1">
      <alignment vertical="center"/>
    </xf>
    <xf numFmtId="0" fontId="1" fillId="27" borderId="0" xfId="0" applyFont="1" applyFill="1" applyBorder="1" applyAlignment="1">
      <alignment vertical="center" wrapText="1"/>
    </xf>
    <xf numFmtId="0" fontId="1" fillId="27" borderId="0" xfId="36" applyFont="1" applyFill="1" applyBorder="1" applyAlignment="1">
      <alignment horizontal="center" vertical="center" wrapText="1"/>
    </xf>
    <xf numFmtId="20" fontId="5" fillId="3" borderId="0" xfId="0" applyNumberFormat="1" applyFont="1" applyFill="1" applyBorder="1" applyAlignment="1">
      <alignment vertical="center"/>
    </xf>
    <xf numFmtId="0" fontId="8" fillId="29" borderId="1" xfId="0" applyFont="1" applyFill="1" applyBorder="1" applyAlignment="1">
      <alignment vertical="center" wrapText="1"/>
    </xf>
    <xf numFmtId="0" fontId="9" fillId="29" borderId="1" xfId="0" applyFont="1" applyFill="1" applyBorder="1" applyAlignment="1">
      <alignment vertical="center" wrapText="1"/>
    </xf>
    <xf numFmtId="0" fontId="8" fillId="0" borderId="0" xfId="0" applyFont="1" applyBorder="1" applyAlignment="1">
      <alignment vertical="center" wrapText="1"/>
    </xf>
    <xf numFmtId="0" fontId="11" fillId="0" borderId="0" xfId="0" applyFont="1"/>
    <xf numFmtId="0" fontId="0" fillId="0" borderId="18" xfId="0" applyBorder="1"/>
    <xf numFmtId="0" fontId="0" fillId="0" borderId="19" xfId="0" applyBorder="1"/>
    <xf numFmtId="0" fontId="10" fillId="0" borderId="22" xfId="0" applyFont="1" applyBorder="1"/>
    <xf numFmtId="0" fontId="10" fillId="0" borderId="18" xfId="0" applyFont="1" applyBorder="1"/>
    <xf numFmtId="0" fontId="10" fillId="0" borderId="19" xfId="0" applyFont="1" applyBorder="1"/>
    <xf numFmtId="0" fontId="0" fillId="0" borderId="22" xfId="0" applyBorder="1"/>
    <xf numFmtId="0" fontId="30" fillId="30" borderId="21" xfId="0" applyFont="1" applyFill="1" applyBorder="1" applyAlignment="1">
      <alignment horizontal="center" wrapText="1"/>
    </xf>
    <xf numFmtId="20" fontId="8" fillId="0" borderId="1" xfId="0" applyNumberFormat="1" applyFont="1" applyBorder="1" applyAlignment="1">
      <alignment vertical="center" wrapText="1"/>
    </xf>
    <xf numFmtId="0" fontId="31" fillId="4" borderId="0" xfId="1" applyFont="1" applyFill="1" applyBorder="1" applyAlignment="1">
      <alignment vertical="center"/>
    </xf>
    <xf numFmtId="165" fontId="11" fillId="0" borderId="1" xfId="0" applyNumberFormat="1" applyFont="1" applyBorder="1" applyAlignment="1">
      <alignment vertical="center" wrapText="1"/>
    </xf>
    <xf numFmtId="20" fontId="6" fillId="4" borderId="0" xfId="1" applyNumberFormat="1" applyFont="1" applyFill="1" applyBorder="1" applyAlignment="1">
      <alignment vertical="center" wrapText="1"/>
    </xf>
    <xf numFmtId="0" fontId="8" fillId="0" borderId="23" xfId="0" applyFont="1" applyFill="1" applyBorder="1" applyAlignment="1">
      <alignment vertical="center" wrapText="1"/>
    </xf>
    <xf numFmtId="0" fontId="6" fillId="4" borderId="0" xfId="1" applyFont="1" applyFill="1" applyBorder="1" applyAlignment="1">
      <alignment horizontal="center" vertical="center" wrapText="1"/>
    </xf>
    <xf numFmtId="0" fontId="8" fillId="0" borderId="1" xfId="0" applyFont="1" applyBorder="1" applyAlignment="1">
      <alignment horizontal="center" vertical="center" wrapText="1"/>
    </xf>
    <xf numFmtId="17" fontId="8" fillId="0" borderId="1" xfId="0" applyNumberFormat="1" applyFont="1" applyBorder="1" applyAlignment="1">
      <alignment vertical="center" wrapText="1"/>
    </xf>
    <xf numFmtId="20" fontId="8" fillId="0" borderId="1" xfId="0" applyNumberFormat="1" applyFont="1" applyBorder="1" applyAlignment="1">
      <alignment horizontal="center" vertical="center" wrapText="1"/>
    </xf>
    <xf numFmtId="0" fontId="8" fillId="31" borderId="1" xfId="0" applyFont="1" applyFill="1" applyBorder="1" applyAlignment="1">
      <alignment vertical="center" wrapText="1"/>
    </xf>
    <xf numFmtId="0" fontId="8" fillId="32" borderId="1" xfId="0" applyFont="1" applyFill="1" applyBorder="1" applyAlignment="1">
      <alignment vertical="center" wrapText="1"/>
    </xf>
    <xf numFmtId="20" fontId="8" fillId="0" borderId="1" xfId="0" applyNumberFormat="1" applyFont="1" applyBorder="1" applyAlignment="1">
      <alignment horizontal="left" vertical="center" wrapText="1"/>
    </xf>
    <xf numFmtId="0" fontId="32" fillId="0" borderId="1" xfId="0" applyFont="1" applyBorder="1" applyAlignment="1">
      <alignment vertical="center" wrapText="1"/>
    </xf>
    <xf numFmtId="20" fontId="8" fillId="0" borderId="1" xfId="0" quotePrefix="1" applyNumberFormat="1" applyFont="1" applyBorder="1" applyAlignment="1">
      <alignment vertical="center" wrapText="1"/>
    </xf>
    <xf numFmtId="0" fontId="33" fillId="0" borderId="1" xfId="0" applyFont="1" applyFill="1" applyBorder="1" applyAlignment="1">
      <alignment vertical="center" wrapText="1"/>
    </xf>
    <xf numFmtId="20" fontId="29" fillId="0" borderId="1" xfId="0" applyNumberFormat="1" applyFont="1" applyBorder="1" applyAlignment="1">
      <alignment horizontal="center" vertical="center" wrapText="1"/>
    </xf>
    <xf numFmtId="0" fontId="33" fillId="0" borderId="1" xfId="0" applyFont="1" applyBorder="1" applyAlignment="1">
      <alignment vertical="center" wrapText="1"/>
    </xf>
    <xf numFmtId="0" fontId="8" fillId="0" borderId="1" xfId="0" applyNumberFormat="1" applyFont="1" applyBorder="1" applyAlignment="1">
      <alignment vertical="center" wrapText="1"/>
    </xf>
    <xf numFmtId="0" fontId="8" fillId="33" borderId="1" xfId="0" applyFont="1" applyFill="1" applyBorder="1" applyAlignment="1">
      <alignment vertical="center" wrapText="1"/>
    </xf>
    <xf numFmtId="0" fontId="8" fillId="34" borderId="1" xfId="0" applyFont="1" applyFill="1" applyBorder="1" applyAlignment="1">
      <alignment vertical="center" wrapText="1"/>
    </xf>
    <xf numFmtId="0" fontId="34" fillId="4" borderId="0" xfId="1" applyFont="1" applyFill="1" applyBorder="1" applyAlignment="1">
      <alignment vertical="center" wrapText="1"/>
    </xf>
    <xf numFmtId="20" fontId="8" fillId="0" borderId="0" xfId="0" applyNumberFormat="1" applyFont="1" applyBorder="1" applyAlignment="1">
      <alignment horizontal="center" vertical="center" wrapText="1"/>
    </xf>
    <xf numFmtId="0" fontId="4" fillId="3" borderId="0" xfId="0" applyFont="1" applyFill="1" applyBorder="1" applyAlignment="1">
      <alignment horizontal="center" vertical="center" wrapText="1"/>
    </xf>
    <xf numFmtId="0" fontId="36" fillId="0" borderId="23" xfId="0" applyFont="1" applyBorder="1" applyAlignment="1">
      <alignment vertical="center" wrapText="1"/>
    </xf>
    <xf numFmtId="0" fontId="11" fillId="0" borderId="1" xfId="0" applyFont="1" applyBorder="1" applyAlignment="1">
      <alignment vertical="center" wrapText="1"/>
    </xf>
    <xf numFmtId="165" fontId="8" fillId="35" borderId="1" xfId="0" applyNumberFormat="1" applyFont="1" applyFill="1" applyBorder="1" applyAlignment="1">
      <alignment vertical="center" wrapText="1"/>
    </xf>
    <xf numFmtId="0" fontId="8" fillId="35" borderId="1" xfId="0" applyFont="1" applyFill="1" applyBorder="1" applyAlignment="1">
      <alignment vertical="center" wrapText="1"/>
    </xf>
    <xf numFmtId="0" fontId="9" fillId="35" borderId="1" xfId="0" applyFont="1" applyFill="1" applyBorder="1" applyAlignment="1">
      <alignment horizontal="center" vertical="center" wrapText="1"/>
    </xf>
    <xf numFmtId="0" fontId="9" fillId="35" borderId="1" xfId="0" applyFont="1" applyFill="1" applyBorder="1" applyAlignment="1">
      <alignment vertical="center" wrapText="1"/>
    </xf>
    <xf numFmtId="164" fontId="8" fillId="35" borderId="1" xfId="0" applyNumberFormat="1" applyFont="1" applyFill="1" applyBorder="1" applyAlignment="1">
      <alignment vertical="center" wrapText="1"/>
    </xf>
    <xf numFmtId="0" fontId="37" fillId="35" borderId="1" xfId="0" applyFont="1" applyFill="1" applyBorder="1" applyAlignment="1">
      <alignment vertical="center" wrapText="1"/>
    </xf>
    <xf numFmtId="0" fontId="9" fillId="0" borderId="1" xfId="0" applyFont="1" applyFill="1" applyBorder="1" applyAlignment="1">
      <alignment horizontal="center" vertical="center" wrapText="1"/>
    </xf>
    <xf numFmtId="0" fontId="2" fillId="35" borderId="1" xfId="0" applyFont="1" applyFill="1" applyBorder="1" applyAlignment="1">
      <alignment vertical="center" wrapText="1"/>
    </xf>
    <xf numFmtId="21" fontId="8" fillId="35" borderId="1" xfId="0" applyNumberFormat="1" applyFont="1" applyFill="1" applyBorder="1" applyAlignment="1">
      <alignment vertical="center" wrapText="1"/>
    </xf>
    <xf numFmtId="0" fontId="10" fillId="0" borderId="0" xfId="36"/>
    <xf numFmtId="0" fontId="6" fillId="0" borderId="0" xfId="1" applyFont="1" applyAlignment="1">
      <alignment vertical="center"/>
    </xf>
    <xf numFmtId="0" fontId="1" fillId="2" borderId="0" xfId="36" applyFont="1" applyFill="1" applyBorder="1" applyAlignment="1">
      <alignment horizontal="center" vertical="center"/>
    </xf>
    <xf numFmtId="0" fontId="1" fillId="2" borderId="0" xfId="36" applyFont="1" applyFill="1" applyBorder="1" applyAlignment="1">
      <alignment horizontal="center" vertical="center" wrapText="1"/>
    </xf>
    <xf numFmtId="14" fontId="1" fillId="2" borderId="0" xfId="36" applyNumberFormat="1" applyFont="1" applyFill="1" applyBorder="1" applyAlignment="1">
      <alignment horizontal="center" vertical="center"/>
    </xf>
    <xf numFmtId="0" fontId="5" fillId="3" borderId="0" xfId="36" applyFont="1" applyFill="1" applyBorder="1" applyAlignment="1">
      <alignment vertical="center"/>
    </xf>
    <xf numFmtId="0" fontId="7" fillId="4" borderId="0" xfId="1" applyFont="1" applyFill="1" applyBorder="1" applyAlignment="1">
      <alignment vertical="center"/>
    </xf>
    <xf numFmtId="0" fontId="6" fillId="4" borderId="0" xfId="1" applyFont="1" applyFill="1" applyBorder="1" applyAlignment="1">
      <alignment vertical="center"/>
    </xf>
    <xf numFmtId="0" fontId="6" fillId="4" borderId="0" xfId="1" applyFont="1" applyFill="1" applyBorder="1" applyAlignment="1">
      <alignment vertical="center" wrapText="1"/>
    </xf>
    <xf numFmtId="14" fontId="6" fillId="4" borderId="0" xfId="1" applyNumberFormat="1" applyFont="1" applyFill="1" applyBorder="1" applyAlignment="1">
      <alignment vertical="center"/>
    </xf>
    <xf numFmtId="0" fontId="27" fillId="4" borderId="0" xfId="1" applyFont="1" applyFill="1" applyBorder="1" applyAlignment="1">
      <alignment vertical="center"/>
    </xf>
    <xf numFmtId="0" fontId="27" fillId="4" borderId="0" xfId="1" applyFont="1" applyFill="1" applyBorder="1" applyAlignment="1">
      <alignment horizontal="center" vertical="center"/>
    </xf>
    <xf numFmtId="0" fontId="7" fillId="23" borderId="0" xfId="1" applyFont="1" applyFill="1" applyBorder="1" applyAlignment="1">
      <alignment vertical="center"/>
    </xf>
    <xf numFmtId="0" fontId="5" fillId="23" borderId="0" xfId="36" applyFont="1" applyFill="1" applyBorder="1" applyAlignment="1">
      <alignment vertical="center"/>
    </xf>
    <xf numFmtId="0" fontId="10" fillId="0" borderId="10" xfId="36" applyBorder="1"/>
    <xf numFmtId="0" fontId="10" fillId="0" borderId="11" xfId="36" applyBorder="1"/>
    <xf numFmtId="0" fontId="10" fillId="0" borderId="12" xfId="36" applyBorder="1"/>
    <xf numFmtId="0" fontId="10" fillId="0" borderId="13" xfId="36" applyBorder="1"/>
    <xf numFmtId="0" fontId="10" fillId="0" borderId="14" xfId="36" applyBorder="1"/>
    <xf numFmtId="0" fontId="10" fillId="0" borderId="15" xfId="36" applyBorder="1"/>
    <xf numFmtId="0" fontId="8" fillId="0" borderId="0" xfId="36" applyFont="1" applyFill="1" applyBorder="1" applyAlignment="1">
      <alignment vertical="center" wrapText="1"/>
    </xf>
    <xf numFmtId="0" fontId="1" fillId="25" borderId="0" xfId="36" applyFont="1" applyFill="1" applyBorder="1" applyAlignment="1">
      <alignment vertical="center"/>
    </xf>
    <xf numFmtId="0" fontId="9" fillId="0" borderId="1" xfId="36" applyFont="1" applyBorder="1" applyAlignment="1">
      <alignment vertical="center" wrapText="1"/>
    </xf>
    <xf numFmtId="165" fontId="8" fillId="0" borderId="1" xfId="36" applyNumberFormat="1" applyFont="1" applyBorder="1" applyAlignment="1">
      <alignment vertical="center" wrapText="1"/>
    </xf>
    <xf numFmtId="0" fontId="1" fillId="3" borderId="0" xfId="36" applyFont="1" applyFill="1" applyBorder="1" applyAlignment="1">
      <alignment vertical="center"/>
    </xf>
    <xf numFmtId="0" fontId="3" fillId="3" borderId="0" xfId="36" applyFont="1" applyFill="1" applyBorder="1" applyAlignment="1">
      <alignment vertical="center"/>
    </xf>
    <xf numFmtId="0" fontId="4" fillId="3" borderId="0" xfId="36" applyFont="1" applyFill="1" applyBorder="1" applyAlignment="1">
      <alignment vertical="center" wrapText="1"/>
    </xf>
    <xf numFmtId="0" fontId="4" fillId="3" borderId="0" xfId="36" applyFont="1" applyFill="1" applyBorder="1" applyAlignment="1">
      <alignment vertical="center"/>
    </xf>
    <xf numFmtId="0" fontId="4" fillId="3" borderId="0" xfId="36" applyFont="1" applyFill="1" applyBorder="1" applyAlignment="1">
      <alignment horizontal="left" vertical="center"/>
    </xf>
    <xf numFmtId="14" fontId="4" fillId="3" borderId="0" xfId="36" applyNumberFormat="1" applyFont="1" applyFill="1" applyBorder="1" applyAlignment="1">
      <alignment vertical="center"/>
    </xf>
    <xf numFmtId="0" fontId="31" fillId="4" borderId="0" xfId="1" applyFont="1" applyFill="1" applyBorder="1" applyAlignment="1">
      <alignment vertical="center"/>
    </xf>
    <xf numFmtId="0" fontId="8" fillId="35" borderId="1" xfId="0" quotePrefix="1" applyFont="1" applyFill="1" applyBorder="1" applyAlignment="1">
      <alignment vertical="center" wrapText="1"/>
    </xf>
    <xf numFmtId="0" fontId="0" fillId="0" borderId="1" xfId="0" applyFont="1" applyBorder="1" applyAlignment="1">
      <alignment horizontal="center" vertical="center" wrapText="1"/>
    </xf>
    <xf numFmtId="164" fontId="8" fillId="37" borderId="1" xfId="0" applyNumberFormat="1" applyFont="1" applyFill="1" applyBorder="1" applyAlignment="1">
      <alignment vertical="center" wrapText="1"/>
    </xf>
    <xf numFmtId="165" fontId="8" fillId="37" borderId="1" xfId="0" applyNumberFormat="1" applyFont="1" applyFill="1" applyBorder="1" applyAlignment="1">
      <alignment vertical="center" wrapText="1"/>
    </xf>
    <xf numFmtId="0" fontId="0" fillId="37" borderId="0" xfId="0" applyFill="1"/>
    <xf numFmtId="164" fontId="11" fillId="0" borderId="0" xfId="0" applyNumberFormat="1" applyFont="1" applyBorder="1" applyAlignment="1">
      <alignment vertical="center" wrapText="1"/>
    </xf>
    <xf numFmtId="164" fontId="8" fillId="38" borderId="1" xfId="0" applyNumberFormat="1" applyFont="1" applyFill="1" applyBorder="1" applyAlignment="1">
      <alignment vertical="center" wrapText="1"/>
    </xf>
    <xf numFmtId="164" fontId="8" fillId="37" borderId="0" xfId="0" applyNumberFormat="1" applyFont="1" applyFill="1" applyBorder="1" applyAlignment="1">
      <alignment vertical="center" wrapText="1"/>
    </xf>
    <xf numFmtId="0" fontId="8" fillId="39" borderId="1" xfId="0" applyFont="1" applyFill="1" applyBorder="1" applyAlignment="1">
      <alignment vertical="center" wrapText="1"/>
    </xf>
    <xf numFmtId="0" fontId="8" fillId="39" borderId="1" xfId="0" quotePrefix="1" applyFont="1" applyFill="1" applyBorder="1" applyAlignment="1">
      <alignment vertical="center" wrapText="1"/>
    </xf>
    <xf numFmtId="0" fontId="8" fillId="0" borderId="1" xfId="0" quotePrefix="1" applyFont="1" applyFill="1" applyBorder="1" applyAlignment="1">
      <alignment vertical="center" wrapText="1"/>
    </xf>
    <xf numFmtId="0" fontId="30" fillId="0" borderId="22" xfId="36" applyFont="1" applyBorder="1"/>
    <xf numFmtId="0" fontId="10" fillId="0" borderId="18" xfId="36" applyBorder="1" applyAlignment="1">
      <alignment horizontal="center"/>
    </xf>
    <xf numFmtId="0" fontId="10" fillId="0" borderId="19" xfId="36" applyBorder="1" applyAlignment="1">
      <alignment horizontal="center"/>
    </xf>
    <xf numFmtId="2" fontId="10" fillId="0" borderId="0" xfId="36" applyNumberFormat="1"/>
    <xf numFmtId="0" fontId="40" fillId="0" borderId="24" xfId="36" applyFont="1" applyBorder="1" applyAlignment="1">
      <alignment horizontal="right" vertical="top" wrapText="1"/>
    </xf>
    <xf numFmtId="0" fontId="40" fillId="36" borderId="24" xfId="36" applyFont="1" applyFill="1" applyBorder="1" applyAlignment="1">
      <alignment horizontal="right" vertical="top" wrapText="1"/>
    </xf>
    <xf numFmtId="0" fontId="5" fillId="3" borderId="0" xfId="36" applyFont="1" applyFill="1" applyBorder="1" applyAlignment="1">
      <alignment vertical="center"/>
    </xf>
    <xf numFmtId="0" fontId="7" fillId="4" borderId="0" xfId="1" applyFont="1" applyFill="1" applyBorder="1" applyAlignment="1">
      <alignment vertical="center"/>
    </xf>
    <xf numFmtId="0" fontId="5" fillId="3" borderId="0" xfId="36" applyFont="1" applyFill="1" applyBorder="1" applyAlignment="1">
      <alignment vertical="center"/>
    </xf>
    <xf numFmtId="0" fontId="1" fillId="4" borderId="0" xfId="36" applyFont="1" applyFill="1" applyBorder="1" applyAlignment="1">
      <alignment vertical="center"/>
    </xf>
    <xf numFmtId="0" fontId="10" fillId="0" borderId="0" xfId="36"/>
    <xf numFmtId="164" fontId="8" fillId="0" borderId="1" xfId="0" applyNumberFormat="1" applyFont="1" applyBorder="1" applyAlignment="1">
      <alignment vertical="center" wrapText="1"/>
    </xf>
    <xf numFmtId="165" fontId="8" fillId="0" borderId="1" xfId="0" applyNumberFormat="1" applyFont="1" applyBorder="1" applyAlignment="1">
      <alignment vertical="center" wrapText="1"/>
    </xf>
    <xf numFmtId="0" fontId="6" fillId="4" borderId="0" xfId="1" applyFont="1" applyFill="1" applyBorder="1" applyAlignment="1">
      <alignment vertical="center"/>
    </xf>
    <xf numFmtId="0" fontId="6" fillId="4" borderId="0" xfId="1" applyFont="1" applyFill="1" applyBorder="1" applyAlignment="1">
      <alignment vertical="center" wrapText="1"/>
    </xf>
    <xf numFmtId="14" fontId="6" fillId="4" borderId="0" xfId="1" applyNumberFormat="1" applyFont="1" applyFill="1" applyBorder="1" applyAlignment="1">
      <alignment vertical="center"/>
    </xf>
    <xf numFmtId="0" fontId="27" fillId="4" borderId="0" xfId="1" applyFont="1" applyFill="1" applyBorder="1" applyAlignment="1">
      <alignment vertical="center"/>
    </xf>
    <xf numFmtId="0" fontId="9" fillId="0" borderId="1" xfId="0" applyFont="1" applyBorder="1" applyAlignment="1">
      <alignment horizontal="center" vertical="center" wrapText="1"/>
    </xf>
    <xf numFmtId="165" fontId="8" fillId="0" borderId="0" xfId="0" applyNumberFormat="1" applyFont="1" applyBorder="1" applyAlignment="1">
      <alignment vertical="center" wrapText="1"/>
    </xf>
    <xf numFmtId="0" fontId="29" fillId="0" borderId="1" xfId="0" applyFont="1" applyBorder="1" applyAlignment="1">
      <alignment vertical="center" wrapText="1"/>
    </xf>
    <xf numFmtId="0" fontId="9" fillId="0" borderId="1" xfId="0" applyFont="1" applyFill="1" applyBorder="1" applyAlignment="1">
      <alignment vertical="center" wrapText="1"/>
    </xf>
    <xf numFmtId="164" fontId="8" fillId="0" borderId="1" xfId="0" applyNumberFormat="1" applyFont="1" applyFill="1" applyBorder="1" applyAlignment="1">
      <alignment vertical="center" wrapText="1"/>
    </xf>
    <xf numFmtId="165" fontId="8" fillId="35" borderId="1" xfId="0" applyNumberFormat="1" applyFont="1" applyFill="1" applyBorder="1" applyAlignment="1">
      <alignment vertical="center" wrapText="1"/>
    </xf>
    <xf numFmtId="0" fontId="8" fillId="35" borderId="1" xfId="0" applyFont="1" applyFill="1" applyBorder="1" applyAlignment="1">
      <alignment vertical="center" wrapText="1"/>
    </xf>
    <xf numFmtId="164" fontId="29" fillId="0" borderId="1" xfId="0" applyNumberFormat="1" applyFont="1" applyBorder="1" applyAlignment="1">
      <alignment vertical="center" wrapText="1"/>
    </xf>
    <xf numFmtId="165" fontId="29" fillId="0" borderId="1" xfId="0" applyNumberFormat="1" applyFont="1" applyBorder="1" applyAlignment="1">
      <alignment vertical="center" wrapText="1"/>
    </xf>
    <xf numFmtId="0" fontId="8" fillId="0" borderId="0" xfId="0" applyFont="1" applyFill="1" applyBorder="1" applyAlignment="1">
      <alignment vertical="center" wrapText="1"/>
    </xf>
    <xf numFmtId="0" fontId="8" fillId="32" borderId="1" xfId="0" applyFont="1" applyFill="1" applyBorder="1" applyAlignment="1">
      <alignment vertical="center" wrapText="1"/>
    </xf>
    <xf numFmtId="0" fontId="9" fillId="0" borderId="1" xfId="0" applyFont="1" applyBorder="1" applyAlignment="1">
      <alignment vertical="center" wrapText="1"/>
    </xf>
    <xf numFmtId="0" fontId="9" fillId="0" borderId="0" xfId="36" applyFont="1" applyFill="1" applyBorder="1" applyAlignment="1">
      <alignment vertical="center" wrapText="1"/>
    </xf>
    <xf numFmtId="0" fontId="9" fillId="35" borderId="1" xfId="0" applyFont="1" applyFill="1" applyBorder="1" applyAlignment="1">
      <alignment vertical="center" wrapText="1"/>
    </xf>
    <xf numFmtId="0" fontId="2" fillId="0" borderId="1" xfId="0" applyFont="1" applyBorder="1" applyAlignment="1">
      <alignment vertical="center" wrapText="1"/>
    </xf>
    <xf numFmtId="0" fontId="8" fillId="0" borderId="1" xfId="0" applyFont="1" applyBorder="1" applyAlignment="1">
      <alignment vertical="center" wrapText="1"/>
    </xf>
    <xf numFmtId="165" fontId="8" fillId="32" borderId="1" xfId="0" applyNumberFormat="1" applyFont="1" applyFill="1" applyBorder="1" applyAlignment="1">
      <alignment vertical="center" wrapText="1"/>
    </xf>
    <xf numFmtId="21" fontId="11" fillId="0" borderId="1" xfId="0" applyNumberFormat="1" applyFont="1" applyBorder="1" applyAlignment="1">
      <alignment vertical="center" wrapText="1"/>
    </xf>
    <xf numFmtId="164" fontId="29" fillId="0" borderId="1" xfId="0" applyNumberFormat="1" applyFont="1" applyFill="1" applyBorder="1" applyAlignment="1">
      <alignment vertical="center" wrapText="1"/>
    </xf>
    <xf numFmtId="165" fontId="29" fillId="0" borderId="1" xfId="0" applyNumberFormat="1" applyFont="1" applyFill="1" applyBorder="1" applyAlignment="1">
      <alignment vertical="center" wrapText="1"/>
    </xf>
    <xf numFmtId="165" fontId="2" fillId="37" borderId="1" xfId="0" applyNumberFormat="1" applyFont="1" applyFill="1" applyBorder="1" applyAlignment="1">
      <alignment vertical="center" wrapText="1"/>
    </xf>
    <xf numFmtId="164" fontId="11" fillId="35" borderId="1" xfId="0" applyNumberFormat="1" applyFont="1" applyFill="1" applyBorder="1" applyAlignment="1">
      <alignment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165" fontId="11" fillId="0" borderId="0" xfId="0" applyNumberFormat="1" applyFont="1" applyBorder="1" applyAlignment="1">
      <alignment vertical="center" wrapText="1"/>
    </xf>
    <xf numFmtId="165" fontId="29" fillId="28" borderId="1" xfId="0" applyNumberFormat="1" applyFont="1" applyFill="1" applyBorder="1" applyAlignment="1">
      <alignment vertical="center" wrapText="1"/>
    </xf>
    <xf numFmtId="165" fontId="10" fillId="0" borderId="1" xfId="0" applyNumberFormat="1" applyFont="1" applyBorder="1" applyAlignment="1">
      <alignment vertical="center" wrapText="1"/>
    </xf>
    <xf numFmtId="0" fontId="10" fillId="0" borderId="0" xfId="0" applyFont="1" applyBorder="1" applyAlignment="1">
      <alignment horizontal="center" vertical="center" wrapText="1"/>
    </xf>
    <xf numFmtId="0" fontId="8" fillId="0" borderId="25" xfId="0" applyFont="1" applyBorder="1" applyAlignment="1">
      <alignment vertical="center" wrapText="1"/>
    </xf>
    <xf numFmtId="0" fontId="9" fillId="0" borderId="25" xfId="0" applyFont="1" applyBorder="1" applyAlignment="1">
      <alignment horizontal="center" vertical="center" wrapText="1"/>
    </xf>
    <xf numFmtId="0" fontId="9" fillId="0" borderId="25" xfId="0" applyFont="1" applyBorder="1" applyAlignment="1">
      <alignment vertical="center" wrapText="1"/>
    </xf>
    <xf numFmtId="164" fontId="8" fillId="0" borderId="25" xfId="0" applyNumberFormat="1" applyFont="1" applyBorder="1" applyAlignment="1">
      <alignment vertical="center" wrapText="1"/>
    </xf>
    <xf numFmtId="165" fontId="8" fillId="0" borderId="25" xfId="0" applyNumberFormat="1" applyFont="1" applyBorder="1" applyAlignment="1">
      <alignment vertical="center" wrapText="1"/>
    </xf>
    <xf numFmtId="21" fontId="8" fillId="0" borderId="25" xfId="0" applyNumberFormat="1" applyFont="1" applyBorder="1" applyAlignment="1">
      <alignment vertical="center" wrapText="1"/>
    </xf>
    <xf numFmtId="0" fontId="8" fillId="39" borderId="25" xfId="0" applyFont="1" applyFill="1" applyBorder="1" applyAlignment="1">
      <alignment vertical="center" wrapText="1"/>
    </xf>
    <xf numFmtId="0" fontId="8" fillId="35" borderId="25" xfId="0" applyFont="1" applyFill="1" applyBorder="1" applyAlignment="1">
      <alignment vertical="center" wrapText="1"/>
    </xf>
    <xf numFmtId="0" fontId="9" fillId="35" borderId="1" xfId="0" applyFont="1" applyFill="1" applyBorder="1" applyAlignment="1">
      <alignment horizontal="left" vertical="center" wrapText="1"/>
    </xf>
    <xf numFmtId="0" fontId="10" fillId="0" borderId="0" xfId="0" quotePrefix="1" applyFont="1"/>
    <xf numFmtId="0" fontId="8" fillId="38" borderId="1" xfId="0" applyFont="1" applyFill="1" applyBorder="1" applyAlignment="1">
      <alignment vertical="center" wrapText="1"/>
    </xf>
    <xf numFmtId="0" fontId="2" fillId="0" borderId="1" xfId="0" applyFont="1" applyFill="1" applyBorder="1" applyAlignment="1">
      <alignment vertical="center" wrapText="1"/>
    </xf>
    <xf numFmtId="20" fontId="8" fillId="0" borderId="0" xfId="36" applyNumberFormat="1" applyFont="1" applyFill="1" applyBorder="1" applyAlignment="1">
      <alignment vertical="center" wrapText="1"/>
    </xf>
    <xf numFmtId="0" fontId="29" fillId="0" borderId="1" xfId="0" applyFont="1" applyBorder="1" applyAlignment="1">
      <alignment horizontal="center" vertical="center" wrapText="1"/>
    </xf>
    <xf numFmtId="164" fontId="29" fillId="35" borderId="1" xfId="36" applyNumberFormat="1" applyFont="1" applyFill="1" applyBorder="1" applyAlignment="1">
      <alignment vertical="center" wrapText="1"/>
    </xf>
    <xf numFmtId="165" fontId="29" fillId="35" borderId="1" xfId="36" applyNumberFormat="1" applyFont="1" applyFill="1" applyBorder="1" applyAlignment="1">
      <alignment vertical="center" wrapText="1"/>
    </xf>
    <xf numFmtId="0" fontId="9" fillId="38" borderId="1" xfId="36" applyFont="1" applyFill="1" applyBorder="1" applyAlignment="1">
      <alignment vertical="center" wrapText="1"/>
    </xf>
    <xf numFmtId="165" fontId="8" fillId="38" borderId="1" xfId="0" applyNumberFormat="1" applyFont="1" applyFill="1" applyBorder="1" applyAlignment="1">
      <alignment vertical="center" wrapText="1"/>
    </xf>
    <xf numFmtId="0" fontId="9" fillId="38" borderId="1" xfId="0" applyFont="1" applyFill="1" applyBorder="1" applyAlignment="1">
      <alignment vertical="center" wrapText="1"/>
    </xf>
    <xf numFmtId="0" fontId="2" fillId="38" borderId="1" xfId="0" applyFont="1" applyFill="1" applyBorder="1" applyAlignment="1">
      <alignment vertical="center" wrapText="1"/>
    </xf>
    <xf numFmtId="0" fontId="9" fillId="38" borderId="1" xfId="0" applyFont="1" applyFill="1" applyBorder="1" applyAlignment="1">
      <alignment horizontal="center" vertical="center" wrapText="1"/>
    </xf>
    <xf numFmtId="165" fontId="29" fillId="38" borderId="1" xfId="0" applyNumberFormat="1" applyFont="1" applyFill="1" applyBorder="1" applyAlignment="1">
      <alignment vertical="center" wrapText="1"/>
    </xf>
    <xf numFmtId="0" fontId="29" fillId="38" borderId="1" xfId="0" applyFont="1" applyFill="1" applyBorder="1" applyAlignment="1">
      <alignment vertical="center" wrapText="1"/>
    </xf>
    <xf numFmtId="164" fontId="29" fillId="38" borderId="1" xfId="0" applyNumberFormat="1" applyFont="1" applyFill="1" applyBorder="1" applyAlignment="1">
      <alignment vertical="center" wrapText="1"/>
    </xf>
    <xf numFmtId="0" fontId="41" fillId="38" borderId="1" xfId="0" applyFont="1" applyFill="1" applyBorder="1" applyAlignment="1">
      <alignment vertical="center" wrapText="1"/>
    </xf>
    <xf numFmtId="0" fontId="43" fillId="38" borderId="1" xfId="0" applyFont="1" applyFill="1" applyBorder="1" applyAlignment="1">
      <alignment horizontal="center" vertical="center" wrapText="1"/>
    </xf>
    <xf numFmtId="0" fontId="43" fillId="38" borderId="1" xfId="0" applyFont="1" applyFill="1" applyBorder="1" applyAlignment="1">
      <alignment vertical="center" wrapText="1"/>
    </xf>
    <xf numFmtId="0" fontId="42" fillId="38" borderId="1" xfId="0" applyFont="1" applyFill="1" applyBorder="1" applyAlignment="1">
      <alignment vertical="center" wrapText="1"/>
    </xf>
    <xf numFmtId="164" fontId="8" fillId="38" borderId="0" xfId="0" applyNumberFormat="1" applyFont="1" applyFill="1" applyBorder="1" applyAlignment="1">
      <alignment vertical="center" wrapText="1"/>
    </xf>
    <xf numFmtId="0" fontId="9" fillId="38" borderId="0" xfId="0" applyFont="1" applyFill="1" applyBorder="1" applyAlignment="1">
      <alignment vertical="center" wrapText="1"/>
    </xf>
    <xf numFmtId="165" fontId="8" fillId="38" borderId="0" xfId="0" applyNumberFormat="1" applyFont="1" applyFill="1" applyBorder="1" applyAlignment="1">
      <alignment vertical="center" wrapText="1"/>
    </xf>
    <xf numFmtId="164" fontId="41" fillId="38" borderId="1" xfId="0" applyNumberFormat="1" applyFont="1" applyFill="1" applyBorder="1" applyAlignment="1">
      <alignment vertical="center" wrapText="1"/>
    </xf>
    <xf numFmtId="165" fontId="41" fillId="38" borderId="1" xfId="0" applyNumberFormat="1" applyFont="1" applyFill="1" applyBorder="1" applyAlignment="1">
      <alignment vertical="center" wrapText="1"/>
    </xf>
    <xf numFmtId="164" fontId="2" fillId="38" borderId="1" xfId="0" applyNumberFormat="1" applyFont="1" applyFill="1" applyBorder="1" applyAlignment="1">
      <alignment vertical="center" wrapText="1"/>
    </xf>
    <xf numFmtId="164" fontId="42" fillId="38" borderId="1" xfId="0" applyNumberFormat="1" applyFont="1" applyFill="1" applyBorder="1" applyAlignment="1">
      <alignment vertical="center" wrapText="1"/>
    </xf>
    <xf numFmtId="0" fontId="8" fillId="38" borderId="0" xfId="0" applyFont="1" applyFill="1" applyBorder="1" applyAlignment="1">
      <alignment vertical="center" wrapText="1"/>
    </xf>
    <xf numFmtId="0" fontId="8" fillId="38" borderId="0" xfId="36" applyFont="1" applyFill="1" applyBorder="1" applyAlignment="1">
      <alignment vertical="center" wrapText="1"/>
    </xf>
    <xf numFmtId="0" fontId="9" fillId="38" borderId="0" xfId="36" applyFont="1" applyFill="1" applyBorder="1" applyAlignment="1">
      <alignment vertical="center" wrapText="1"/>
    </xf>
    <xf numFmtId="165" fontId="8" fillId="38" borderId="0" xfId="36" applyNumberFormat="1" applyFont="1" applyFill="1" applyBorder="1" applyAlignment="1">
      <alignment vertical="center" wrapText="1"/>
    </xf>
    <xf numFmtId="0" fontId="2" fillId="38" borderId="0" xfId="0" applyFont="1" applyFill="1" applyBorder="1" applyAlignment="1">
      <alignment vertical="center" wrapText="1"/>
    </xf>
    <xf numFmtId="0" fontId="40" fillId="38" borderId="0" xfId="0" applyFont="1" applyFill="1"/>
    <xf numFmtId="0" fontId="9" fillId="38" borderId="23" xfId="0" applyFont="1" applyFill="1" applyBorder="1" applyAlignment="1">
      <alignment vertical="center" wrapText="1"/>
    </xf>
    <xf numFmtId="0" fontId="0" fillId="38" borderId="0" xfId="0" applyFill="1"/>
    <xf numFmtId="0" fontId="10" fillId="38" borderId="0" xfId="0" applyFont="1" applyFill="1"/>
    <xf numFmtId="0" fontId="8" fillId="0" borderId="1" xfId="1" applyFont="1" applyBorder="1" applyAlignment="1">
      <alignment vertical="center" wrapText="1"/>
    </xf>
    <xf numFmtId="164" fontId="44" fillId="4" borderId="0" xfId="1" applyNumberFormat="1" applyFont="1" applyFill="1" applyBorder="1" applyAlignment="1">
      <alignment vertical="center"/>
    </xf>
    <xf numFmtId="0" fontId="1" fillId="40" borderId="0" xfId="36" applyFont="1" applyFill="1" applyBorder="1" applyAlignment="1">
      <alignment vertical="center"/>
    </xf>
    <xf numFmtId="164" fontId="11" fillId="0" borderId="1" xfId="0" applyNumberFormat="1" applyFont="1" applyBorder="1" applyAlignment="1">
      <alignment vertical="center" wrapText="1"/>
    </xf>
    <xf numFmtId="0" fontId="37" fillId="0" borderId="1" xfId="0" applyFont="1" applyBorder="1" applyAlignment="1">
      <alignment vertical="center" wrapText="1"/>
    </xf>
    <xf numFmtId="0" fontId="45" fillId="0" borderId="1" xfId="0" applyFont="1" applyBorder="1" applyAlignment="1">
      <alignment vertical="center" wrapText="1"/>
    </xf>
    <xf numFmtId="0" fontId="29" fillId="0" borderId="25" xfId="0" applyFont="1" applyBorder="1" applyAlignment="1">
      <alignment vertical="center" wrapText="1"/>
    </xf>
    <xf numFmtId="0" fontId="41" fillId="0" borderId="25" xfId="0" applyFont="1" applyBorder="1" applyAlignment="1">
      <alignment vertical="center" wrapText="1"/>
    </xf>
    <xf numFmtId="0" fontId="43" fillId="0" borderId="25" xfId="0" applyFont="1" applyBorder="1" applyAlignment="1">
      <alignment horizontal="center" vertical="center" wrapText="1"/>
    </xf>
    <xf numFmtId="0" fontId="43" fillId="0" borderId="25" xfId="0" applyFont="1" applyBorder="1" applyAlignment="1">
      <alignment vertical="center" wrapText="1"/>
    </xf>
    <xf numFmtId="0" fontId="42" fillId="0" borderId="25" xfId="0" applyFont="1" applyBorder="1" applyAlignment="1">
      <alignment vertical="center" wrapText="1"/>
    </xf>
    <xf numFmtId="164" fontId="41" fillId="0" borderId="25" xfId="0" applyNumberFormat="1" applyFont="1" applyBorder="1" applyAlignment="1">
      <alignment vertical="center" wrapText="1"/>
    </xf>
    <xf numFmtId="165" fontId="41" fillId="0" borderId="25" xfId="0" applyNumberFormat="1" applyFont="1" applyBorder="1" applyAlignment="1">
      <alignment vertical="center" wrapText="1"/>
    </xf>
    <xf numFmtId="0" fontId="46" fillId="0" borderId="25" xfId="0" applyFont="1" applyBorder="1" applyAlignment="1">
      <alignment vertical="center" wrapText="1"/>
    </xf>
    <xf numFmtId="164" fontId="37" fillId="35" borderId="1" xfId="0" applyNumberFormat="1" applyFont="1" applyFill="1" applyBorder="1" applyAlignment="1">
      <alignment vertical="center" wrapText="1"/>
    </xf>
    <xf numFmtId="0" fontId="47" fillId="0" borderId="1" xfId="0" applyFont="1" applyBorder="1" applyAlignment="1">
      <alignment vertical="center" wrapText="1"/>
    </xf>
    <xf numFmtId="0" fontId="48" fillId="0" borderId="1" xfId="0" applyFont="1" applyBorder="1" applyAlignment="1">
      <alignment horizontal="center" vertical="center" wrapText="1"/>
    </xf>
    <xf numFmtId="0" fontId="48" fillId="0" borderId="1" xfId="0" applyFont="1" applyBorder="1" applyAlignment="1">
      <alignment vertical="center" wrapText="1"/>
    </xf>
    <xf numFmtId="165" fontId="47" fillId="0" borderId="1" xfId="0" applyNumberFormat="1" applyFont="1" applyBorder="1" applyAlignment="1">
      <alignment vertical="center" wrapText="1"/>
    </xf>
    <xf numFmtId="0" fontId="49" fillId="0" borderId="26" xfId="0" applyFont="1" applyBorder="1"/>
    <xf numFmtId="0" fontId="2" fillId="34" borderId="1" xfId="0" applyFont="1" applyFill="1" applyBorder="1" applyAlignment="1">
      <alignment vertical="center" wrapText="1"/>
    </xf>
    <xf numFmtId="21" fontId="50" fillId="0" borderId="1" xfId="0" applyNumberFormat="1" applyFont="1" applyFill="1" applyBorder="1" applyAlignment="1">
      <alignment vertical="center" wrapText="1"/>
    </xf>
    <xf numFmtId="165" fontId="50" fillId="0" borderId="1" xfId="0" applyNumberFormat="1" applyFont="1" applyFill="1" applyBorder="1" applyAlignment="1">
      <alignment vertical="center" wrapText="1"/>
    </xf>
    <xf numFmtId="0" fontId="50" fillId="0" borderId="1" xfId="0" applyFont="1" applyFill="1" applyBorder="1" applyAlignment="1">
      <alignment vertical="center" wrapText="1"/>
    </xf>
    <xf numFmtId="164" fontId="51" fillId="37" borderId="1" xfId="36" applyNumberFormat="1" applyFont="1" applyFill="1" applyBorder="1" applyAlignment="1">
      <alignment vertical="center" wrapText="1"/>
    </xf>
    <xf numFmtId="0" fontId="30" fillId="0" borderId="17" xfId="36" applyFont="1" applyBorder="1" applyAlignment="1">
      <alignment horizontal="center"/>
    </xf>
    <xf numFmtId="0" fontId="30" fillId="30" borderId="16" xfId="0" applyFont="1" applyFill="1" applyBorder="1" applyAlignment="1">
      <alignment horizontal="center" wrapText="1"/>
    </xf>
    <xf numFmtId="0" fontId="30" fillId="30" borderId="20" xfId="0" applyFont="1" applyFill="1" applyBorder="1" applyAlignment="1">
      <alignment horizontal="center"/>
    </xf>
    <xf numFmtId="0" fontId="30" fillId="30" borderId="17" xfId="0" applyFont="1" applyFill="1" applyBorder="1" applyAlignment="1">
      <alignment horizontal="center"/>
    </xf>
  </cellXfs>
  <cellStyles count="44">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2 2" xfId="10"/>
    <cellStyle name="40% - Accent2_Sirax 5.1 - Release Upgrade" xfId="11"/>
    <cellStyle name="40% - Accent3" xfId="12"/>
    <cellStyle name="40% - Accent3 2" xfId="13"/>
    <cellStyle name="40% - Accent3_Sirax 5.1 - Release Upgrade" xfId="14"/>
    <cellStyle name="40% - Accent4" xfId="15"/>
    <cellStyle name="40% - Accent5" xfId="16"/>
    <cellStyle name="40% - Accent6" xfId="17"/>
    <cellStyle name="60% - Accent1" xfId="18"/>
    <cellStyle name="60% - Accent2" xfId="19"/>
    <cellStyle name="60% - Accent3" xfId="20"/>
    <cellStyle name="60% - Accent4" xfId="21"/>
    <cellStyle name="60% - Accent5" xfId="22"/>
    <cellStyle name="60% - Accent6" xfId="23"/>
    <cellStyle name="Bad" xfId="24"/>
    <cellStyle name="Calculation" xfId="25"/>
    <cellStyle name="Check Cell" xfId="26"/>
    <cellStyle name="Explanatory Text" xfId="27"/>
    <cellStyle name="Good" xfId="28"/>
    <cellStyle name="Heading 1" xfId="29"/>
    <cellStyle name="Heading 2" xfId="30"/>
    <cellStyle name="Heading 3" xfId="31"/>
    <cellStyle name="Heading 4" xfId="32"/>
    <cellStyle name="Input" xfId="33"/>
    <cellStyle name="Linked Cell" xfId="34"/>
    <cellStyle name="Neutral" xfId="35"/>
    <cellStyle name="NiveauLigne_2" xfId="1" builtinId="1" iLevel="1"/>
    <cellStyle name="Normal" xfId="0" builtinId="0"/>
    <cellStyle name="Normal 2" xfId="36"/>
    <cellStyle name="Normal 2 2" xfId="37"/>
    <cellStyle name="Normal 3" xfId="38"/>
    <cellStyle name="Normal 4" xfId="43"/>
    <cellStyle name="Note" xfId="39"/>
    <cellStyle name="Output" xfId="40"/>
    <cellStyle name="Title" xfId="41"/>
    <cellStyle name="Warning Text" xfId="42"/>
  </cellStyles>
  <dxfs count="879">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val="0"/>
        <i val="0"/>
        <strike val="0"/>
        <condense val="0"/>
        <extend val="0"/>
        <outline val="0"/>
        <shadow val="0"/>
        <u val="none"/>
        <vertAlign val="baseline"/>
        <sz val="10"/>
        <color indexed="18"/>
        <name val="Arial"/>
        <scheme val="none"/>
      </font>
      <numFmt numFmtId="164" formatCode="[$-F400]h:mm:ss\ AM/P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4" formatCode="[$-F400]h:mm:ss\ AM/P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4" formatCode="[$-F400]h:mm:ss\ AM/P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theme="8" tint="0.59999389629810485"/>
        </patternFill>
      </fill>
    </dxf>
    <dxf>
      <font>
        <b val="0"/>
        <i val="0"/>
        <strike val="0"/>
        <condense val="0"/>
        <extend val="0"/>
        <outline val="0"/>
        <shadow val="0"/>
        <u val="none"/>
        <vertAlign val="baseline"/>
        <sz val="10"/>
        <color indexed="18"/>
        <name val="Arial"/>
        <scheme val="none"/>
      </font>
      <numFmt numFmtId="165" formatCode="d/m/yy\ h:m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4" formatCode="[$-F400]h:mm:ss\ AM/PM"/>
      <fill>
        <patternFill patternType="solid">
          <fgColor indexed="64"/>
          <bgColor theme="8" tint="0.5999938962981048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fill>
        <patternFill patternType="solid">
          <fgColor indexed="64"/>
          <bgColor theme="8" tint="0.59999389629810485"/>
        </patternFill>
      </fill>
      <alignment horizontal="general" vertical="center" textRotation="0" wrapText="1" indent="0" justifyLastLine="0" shrinkToFit="0" readingOrder="0"/>
    </dxf>
    <dxf>
      <font>
        <b/>
        <i val="0"/>
        <strike val="0"/>
        <condense val="0"/>
        <extend val="0"/>
        <outline val="0"/>
        <shadow val="0"/>
        <u val="none"/>
        <vertAlign val="baseline"/>
        <sz val="10"/>
        <color indexed="9"/>
        <name val="Arial"/>
        <scheme val="none"/>
      </font>
      <numFmt numFmtId="19" formatCode="dd/mm/yyyy"/>
      <fill>
        <patternFill patternType="solid">
          <fgColor indexed="64"/>
          <bgColor indexed="54"/>
        </patternFill>
      </fill>
      <alignment horizontal="center" vertical="center" textRotation="0" wrapText="0" indent="0" justifyLastLine="0" shrinkToFit="0" readingOrder="0"/>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26" formatCode="hh:mm:ss"/>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fill>
        <patternFill patternType="solid">
          <fgColor indexed="64"/>
          <bgColor rgb="FFFFC000"/>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border outline="0">
        <bottom style="hair">
          <color indexed="64"/>
        </bottom>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dxf>
    <dxf>
      <font>
        <b/>
        <i val="0"/>
        <strike val="0"/>
        <condense val="0"/>
        <extend val="0"/>
        <outline val="0"/>
        <shadow val="0"/>
        <u val="none"/>
        <vertAlign val="baseline"/>
        <sz val="10"/>
        <color indexed="9"/>
        <name val="Arial"/>
        <scheme val="none"/>
      </font>
      <numFmt numFmtId="19" formatCode="dd/mm/yyyy"/>
      <fill>
        <patternFill patternType="solid">
          <fgColor indexed="64"/>
          <bgColor indexed="54"/>
        </patternFill>
      </fill>
      <alignment horizontal="center" vertical="center" textRotation="0" wrapText="0" indent="0" justifyLastLine="0" shrinkToFit="0" readingOrder="0"/>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26" formatCode="hh:mm:ss"/>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border outline="0">
        <bottom style="hair">
          <color indexed="64"/>
        </bottom>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dxf>
    <dxf>
      <font>
        <b/>
        <i val="0"/>
        <strike val="0"/>
        <condense val="0"/>
        <extend val="0"/>
        <outline val="0"/>
        <shadow val="0"/>
        <u val="none"/>
        <vertAlign val="baseline"/>
        <sz val="10"/>
        <color indexed="9"/>
        <name val="Arial"/>
        <scheme val="none"/>
      </font>
      <numFmt numFmtId="19" formatCode="dd/mm/yyyy"/>
      <fill>
        <patternFill patternType="solid">
          <fgColor indexed="64"/>
          <bgColor indexed="54"/>
        </patternFill>
      </fill>
      <alignment horizontal="center" vertical="center" textRotation="0" wrapText="0" indent="0" justifyLastLine="0" shrinkToFit="0" readingOrder="0"/>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5" formatCode="d/m/yy\ h:m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numFmt numFmtId="164" formatCode="[$-F400]h:mm:ss\ AM/PM"/>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20"/>
        <name val="Arial"/>
        <scheme val="none"/>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border outline="0">
        <bottom style="hair">
          <color indexed="64"/>
        </bottom>
      </border>
    </dxf>
    <dxf>
      <font>
        <b val="0"/>
        <i val="0"/>
        <strike val="0"/>
        <condense val="0"/>
        <extend val="0"/>
        <outline val="0"/>
        <shadow val="0"/>
        <u val="none"/>
        <vertAlign val="baseline"/>
        <sz val="10"/>
        <color indexed="18"/>
        <name val="Arial"/>
        <scheme val="none"/>
      </font>
      <alignment horizontal="general" vertical="center" textRotation="0" wrapText="1" indent="0" justifyLastLine="0" shrinkToFit="0" readingOrder="0"/>
    </dxf>
    <dxf>
      <font>
        <b/>
        <i val="0"/>
        <strike val="0"/>
        <condense val="0"/>
        <extend val="0"/>
        <outline val="0"/>
        <shadow val="0"/>
        <u val="none"/>
        <vertAlign val="baseline"/>
        <sz val="10"/>
        <color indexed="9"/>
        <name val="Arial"/>
        <scheme val="none"/>
      </font>
      <numFmt numFmtId="19" formatCode="dd/mm/yyyy"/>
      <fill>
        <patternFill patternType="solid">
          <fgColor indexed="64"/>
          <bgColor indexed="54"/>
        </patternFill>
      </fill>
      <alignment horizontal="center" vertical="center" textRotation="0" wrapText="0" indent="0" justifyLastLine="0" shrinkToFit="0" readingOrder="0"/>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
      <font>
        <b/>
        <i val="0"/>
        <color theme="6"/>
      </font>
    </dxf>
    <dxf>
      <font>
        <b/>
        <i val="0"/>
        <color theme="9"/>
      </font>
    </dxf>
    <dxf>
      <font>
        <b/>
        <i val="0"/>
        <color rgb="FFFF0000"/>
      </font>
    </dxf>
    <dxf>
      <font>
        <b/>
        <i val="0"/>
        <color auto="1"/>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id="1" name="Tableau1" displayName="Tableau1" ref="C1:L63" totalsRowShown="0" headerRowDxfId="834" dataDxfId="833" tableBorderDxfId="832" headerRowCellStyle="Normal 2">
  <autoFilter ref="C1:L63"/>
  <tableColumns count="10">
    <tableColumn id="1" name="ACTIVITY" dataDxfId="831"/>
    <tableColumn id="2" name="TASK ID" dataDxfId="830"/>
    <tableColumn id="3" name="Resp._x000a_dept." dataDxfId="829"/>
    <tableColumn id="4" name="ACTOR " dataDxfId="828"/>
    <tableColumn id="5" name="Status" dataDxfId="827"/>
    <tableColumn id="6" name="Duration" dataDxfId="826"/>
    <tableColumn id="7" name="Planned Start" dataDxfId="825"/>
    <tableColumn id="8" name="Planned End" dataDxfId="824"/>
    <tableColumn id="9" name="Dependency" dataDxfId="823"/>
    <tableColumn id="10" name="Comments" dataDxfId="822"/>
  </tableColumns>
  <tableStyleInfo name="TableStyleMedium2" showFirstColumn="0" showLastColumn="0" showRowStripes="1" showColumnStripes="0"/>
</table>
</file>

<file path=xl/tables/table2.xml><?xml version="1.0" encoding="utf-8"?>
<table xmlns="http://schemas.openxmlformats.org/spreadsheetml/2006/main" id="2" name="Tableau2" displayName="Tableau2" ref="C1:L55" totalsRowShown="0" headerRowDxfId="777" dataDxfId="776" tableBorderDxfId="775" headerRowCellStyle="Normal 2">
  <autoFilter ref="C1:L55"/>
  <tableColumns count="10">
    <tableColumn id="1" name="ACTIVITY" dataDxfId="774"/>
    <tableColumn id="2" name="TASK ID" dataDxfId="773"/>
    <tableColumn id="3" name="Resp._x000a_dept." dataDxfId="772"/>
    <tableColumn id="4" name="ACTOR " dataDxfId="771"/>
    <tableColumn id="5" name="Status" dataDxfId="770"/>
    <tableColumn id="6" name="Duration" dataDxfId="769"/>
    <tableColumn id="7" name="Planned Start" dataDxfId="768"/>
    <tableColumn id="8" name="Planned End" dataDxfId="767">
      <calculatedColumnFormula>I2+H2</calculatedColumnFormula>
    </tableColumn>
    <tableColumn id="9" name="Dependency" dataDxfId="766"/>
    <tableColumn id="10" name="Comments" dataDxfId="765"/>
  </tableColumns>
  <tableStyleInfo name="TableStyleMedium2" showFirstColumn="0" showLastColumn="0" showRowStripes="1" showColumnStripes="0"/>
</table>
</file>

<file path=xl/tables/table3.xml><?xml version="1.0" encoding="utf-8"?>
<table xmlns="http://schemas.openxmlformats.org/spreadsheetml/2006/main" id="3" name="Tableau3" displayName="Tableau3" ref="C1:L79" totalsRowShown="0" headerRowDxfId="536" dataDxfId="535" tableBorderDxfId="534" headerRowCellStyle="Normal 2">
  <autoFilter ref="C1:L79"/>
  <tableColumns count="10">
    <tableColumn id="1" name="ACTIVITY" dataDxfId="533"/>
    <tableColumn id="2" name="TASK ID" dataDxfId="532"/>
    <tableColumn id="3" name="Resp._x000a_dept." dataDxfId="531"/>
    <tableColumn id="4" name="ACTOR " dataDxfId="530"/>
    <tableColumn id="5" name="Status" dataDxfId="529"/>
    <tableColumn id="6" name="Duration" dataDxfId="528"/>
    <tableColumn id="7" name="Planned Start" dataDxfId="527">
      <calculatedColumnFormula>J1</calculatedColumnFormula>
    </tableColumn>
    <tableColumn id="8" name="Planned End" dataDxfId="526">
      <calculatedColumnFormula>I2+H2</calculatedColumnFormula>
    </tableColumn>
    <tableColumn id="9" name="Dependency" dataDxfId="525"/>
    <tableColumn id="10" name="Comments" dataDxfId="524"/>
  </tableColumns>
  <tableStyleInfo name="TableStyleMedium2" showFirstColumn="0" showLastColumn="0" showRowStripes="1" showColumnStripes="0"/>
</table>
</file>

<file path=xl/tables/table4.xml><?xml version="1.0" encoding="utf-8"?>
<table xmlns="http://schemas.openxmlformats.org/spreadsheetml/2006/main" id="4" name="Tableau4" displayName="Tableau4" ref="C1:L138" totalsRowShown="0" headerRowDxfId="115" dataDxfId="114" headerRowCellStyle="Normal 2">
  <autoFilter ref="C1:L138"/>
  <tableColumns count="10">
    <tableColumn id="1" name="ACTIVITY" dataDxfId="113"/>
    <tableColumn id="2" name="TASK ID" dataDxfId="112"/>
    <tableColumn id="3" name="Resp._x000a_dept." dataDxfId="111"/>
    <tableColumn id="4" name="ACTOR " dataDxfId="110"/>
    <tableColumn id="5" name="Status" dataDxfId="109"/>
    <tableColumn id="6" name="Duration" dataDxfId="108"/>
    <tableColumn id="7" name="Planned Start" dataDxfId="107"/>
    <tableColumn id="8" name="Planned End" dataDxfId="106"/>
    <tableColumn id="9" name="Dependency" dataDxfId="105"/>
    <tableColumn id="10" name="Comments" dataDxfId="104"/>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N24"/>
  <sheetViews>
    <sheetView topLeftCell="B1" zoomScale="85" zoomScaleNormal="85" workbookViewId="0">
      <selection activeCell="C37" sqref="C37"/>
    </sheetView>
  </sheetViews>
  <sheetFormatPr baseColWidth="10" defaultRowHeight="12.75" outlineLevelRow="2" x14ac:dyDescent="0.2"/>
  <cols>
    <col min="1" max="1" width="2.7109375" style="18" customWidth="1"/>
    <col min="2" max="2" width="2.42578125" style="18" customWidth="1"/>
    <col min="3" max="3" width="45.85546875" style="18" customWidth="1"/>
    <col min="4" max="4" width="5.85546875" style="18" customWidth="1"/>
    <col min="5" max="5" width="13.140625" style="18" bestFit="1" customWidth="1"/>
    <col min="6" max="6" width="15.28515625" style="5" customWidth="1"/>
    <col min="7" max="7" width="14.5703125" style="18" customWidth="1"/>
    <col min="8" max="8" width="11.28515625" style="18" customWidth="1"/>
    <col min="9" max="9" width="11" style="18" customWidth="1"/>
    <col min="10" max="10" width="11.42578125" style="18" customWidth="1"/>
    <col min="11" max="11" width="13.28515625" style="18" customWidth="1"/>
    <col min="12" max="12" width="51.85546875" style="18" customWidth="1"/>
    <col min="13" max="13" width="2" style="18" customWidth="1"/>
    <col min="14" max="14" width="2.28515625" style="18" customWidth="1"/>
    <col min="15" max="16384" width="11.42578125" style="18"/>
  </cols>
  <sheetData>
    <row r="1" spans="1:14" s="3" customFormat="1" ht="25.5" x14ac:dyDescent="0.2">
      <c r="A1" s="2"/>
      <c r="B1" s="2"/>
      <c r="C1" s="20" t="s">
        <v>1</v>
      </c>
      <c r="D1" s="20" t="s">
        <v>0</v>
      </c>
      <c r="E1" s="19" t="s">
        <v>2</v>
      </c>
      <c r="F1" s="19" t="s">
        <v>3</v>
      </c>
      <c r="G1" s="19" t="s">
        <v>4</v>
      </c>
      <c r="H1" s="19" t="s">
        <v>5</v>
      </c>
      <c r="I1" s="21" t="s">
        <v>6</v>
      </c>
      <c r="J1" s="21" t="s">
        <v>7</v>
      </c>
      <c r="K1" s="21" t="s">
        <v>8</v>
      </c>
      <c r="L1" s="19" t="s">
        <v>9</v>
      </c>
      <c r="M1" s="19"/>
      <c r="N1" s="19"/>
    </row>
    <row r="2" spans="1:14" s="11" customFormat="1" outlineLevel="1" x14ac:dyDescent="0.2">
      <c r="A2" s="6" t="s">
        <v>136</v>
      </c>
      <c r="B2" s="7"/>
      <c r="C2" s="8"/>
      <c r="D2" s="9"/>
      <c r="E2" s="9"/>
      <c r="F2" s="9"/>
      <c r="G2" s="9"/>
      <c r="H2" s="9"/>
      <c r="I2" s="10"/>
      <c r="J2" s="10"/>
      <c r="K2" s="10"/>
      <c r="L2" s="8"/>
      <c r="M2" s="23"/>
      <c r="N2" s="22"/>
    </row>
    <row r="3" spans="1:14" s="4" customFormat="1" outlineLevel="2" x14ac:dyDescent="0.2">
      <c r="A3" s="12"/>
      <c r="B3" s="13" t="s">
        <v>132</v>
      </c>
      <c r="C3" s="25"/>
      <c r="D3" s="24"/>
      <c r="E3" s="24"/>
      <c r="F3" s="24"/>
      <c r="G3" s="24"/>
      <c r="H3" s="24"/>
      <c r="I3" s="26"/>
      <c r="J3" s="26"/>
      <c r="K3" s="26"/>
      <c r="L3" s="25"/>
      <c r="M3" s="23"/>
      <c r="N3" s="22"/>
    </row>
    <row r="4" spans="1:14" s="4" customFormat="1" outlineLevel="2" x14ac:dyDescent="0.2">
      <c r="A4" s="12"/>
      <c r="B4" s="13"/>
      <c r="C4" s="25"/>
      <c r="D4" s="24"/>
      <c r="E4" s="24"/>
      <c r="F4" s="24"/>
      <c r="G4" s="24"/>
      <c r="H4" s="24"/>
      <c r="I4" s="26"/>
      <c r="J4" s="26"/>
      <c r="K4" s="26"/>
      <c r="L4" s="25"/>
      <c r="M4" s="23"/>
      <c r="N4" s="22"/>
    </row>
    <row r="5" spans="1:14" s="11" customFormat="1" outlineLevel="2" x14ac:dyDescent="0.2">
      <c r="A5" s="12"/>
      <c r="B5" s="23"/>
      <c r="C5" s="14" t="s">
        <v>711</v>
      </c>
      <c r="D5" s="29"/>
      <c r="E5" s="17"/>
      <c r="F5" s="17" t="s">
        <v>155</v>
      </c>
      <c r="G5" s="14" t="s">
        <v>716</v>
      </c>
      <c r="H5" s="15"/>
      <c r="I5" s="16">
        <v>42614.375</v>
      </c>
      <c r="J5" s="177">
        <v>42614.708333333336</v>
      </c>
      <c r="K5" s="16"/>
      <c r="L5" s="16"/>
      <c r="M5" s="23"/>
      <c r="N5" s="22"/>
    </row>
    <row r="6" spans="1:14" s="11" customFormat="1" outlineLevel="2" x14ac:dyDescent="0.2">
      <c r="A6" s="12"/>
      <c r="B6" s="23"/>
      <c r="C6" s="14" t="s">
        <v>168</v>
      </c>
      <c r="D6" s="29"/>
      <c r="E6" s="17"/>
      <c r="F6" s="17"/>
      <c r="G6" s="14" t="s">
        <v>221</v>
      </c>
      <c r="H6" s="15"/>
      <c r="I6" s="177">
        <v>42614.375</v>
      </c>
      <c r="J6" s="177">
        <v>42614.708333333336</v>
      </c>
      <c r="K6" s="16"/>
      <c r="L6" s="16"/>
      <c r="M6" s="23"/>
      <c r="N6" s="22"/>
    </row>
    <row r="7" spans="1:14" s="11" customFormat="1" ht="25.5" outlineLevel="2" x14ac:dyDescent="0.2">
      <c r="A7" s="12"/>
      <c r="B7" s="23"/>
      <c r="C7" s="14" t="s">
        <v>165</v>
      </c>
      <c r="D7" s="29"/>
      <c r="E7" s="17"/>
      <c r="F7" s="17" t="s">
        <v>155</v>
      </c>
      <c r="G7" s="14" t="s">
        <v>716</v>
      </c>
      <c r="H7" s="15"/>
      <c r="I7" s="177">
        <v>42614.375</v>
      </c>
      <c r="J7" s="177">
        <v>42614.708333333336</v>
      </c>
      <c r="K7" s="16"/>
      <c r="L7" s="16"/>
      <c r="M7" s="23"/>
      <c r="N7" s="22"/>
    </row>
    <row r="8" spans="1:14" s="11" customFormat="1" outlineLevel="2" x14ac:dyDescent="0.2">
      <c r="A8" s="12"/>
      <c r="B8" s="23"/>
      <c r="C8" s="14" t="s">
        <v>164</v>
      </c>
      <c r="D8" s="29"/>
      <c r="E8" s="17"/>
      <c r="F8" s="17"/>
      <c r="G8" s="14" t="s">
        <v>221</v>
      </c>
      <c r="H8" s="15"/>
      <c r="I8" s="177">
        <v>42614.375</v>
      </c>
      <c r="J8" s="177">
        <v>42614.708333333336</v>
      </c>
      <c r="K8" s="16"/>
      <c r="L8" s="91" t="s">
        <v>766</v>
      </c>
      <c r="M8" s="23"/>
      <c r="N8" s="22"/>
    </row>
    <row r="9" spans="1:14" x14ac:dyDescent="0.2">
      <c r="B9" s="172"/>
      <c r="C9" s="80" t="s">
        <v>983</v>
      </c>
      <c r="D9" s="204"/>
      <c r="E9" s="205" t="s">
        <v>169</v>
      </c>
      <c r="F9" s="205"/>
      <c r="G9" s="197" t="s">
        <v>713</v>
      </c>
      <c r="H9" s="59"/>
      <c r="I9" s="183">
        <v>42614.375</v>
      </c>
      <c r="J9" s="183">
        <f>I9</f>
        <v>42614.375</v>
      </c>
      <c r="L9" s="219" t="s">
        <v>984</v>
      </c>
    </row>
    <row r="13" spans="1:14" s="11" customFormat="1" outlineLevel="2" x14ac:dyDescent="0.2">
      <c r="A13" s="12"/>
      <c r="B13" s="13" t="s">
        <v>174</v>
      </c>
      <c r="C13" s="25"/>
      <c r="D13" s="25"/>
      <c r="E13" s="62" t="s">
        <v>175</v>
      </c>
      <c r="F13" s="53"/>
      <c r="G13" s="24"/>
      <c r="H13" s="24"/>
      <c r="I13" s="26"/>
      <c r="J13" s="26"/>
      <c r="K13" s="26"/>
      <c r="L13" s="25"/>
      <c r="M13" s="23"/>
      <c r="N13" s="22"/>
    </row>
    <row r="14" spans="1:14" s="11" customFormat="1" outlineLevel="2" x14ac:dyDescent="0.2">
      <c r="A14" s="12"/>
      <c r="B14" s="23"/>
      <c r="C14" s="14" t="s">
        <v>198</v>
      </c>
      <c r="D14" s="56"/>
      <c r="E14" s="63" t="s">
        <v>175</v>
      </c>
      <c r="F14" s="61"/>
      <c r="G14" s="14" t="s">
        <v>221</v>
      </c>
      <c r="H14" s="15"/>
      <c r="I14" s="177">
        <v>42620.625</v>
      </c>
      <c r="J14" s="177">
        <v>42620.708333333336</v>
      </c>
      <c r="K14" s="16"/>
      <c r="L14" s="64"/>
      <c r="M14" s="23"/>
      <c r="N14" s="22"/>
    </row>
    <row r="15" spans="1:14" s="11" customFormat="1" outlineLevel="2" x14ac:dyDescent="0.2">
      <c r="A15" s="12"/>
      <c r="B15" s="23"/>
      <c r="C15" s="14" t="s">
        <v>176</v>
      </c>
      <c r="D15" s="56"/>
      <c r="E15" s="63" t="s">
        <v>175</v>
      </c>
      <c r="F15" s="61"/>
      <c r="G15" s="14" t="s">
        <v>221</v>
      </c>
      <c r="H15" s="15"/>
      <c r="I15" s="16"/>
      <c r="J15" s="16"/>
      <c r="K15" s="16"/>
      <c r="L15" s="64"/>
      <c r="M15" s="23"/>
      <c r="N15" s="22"/>
    </row>
    <row r="16" spans="1:14" s="11" customFormat="1" ht="25.5" outlineLevel="2" x14ac:dyDescent="0.2">
      <c r="A16" s="12"/>
      <c r="B16" s="23"/>
      <c r="C16" s="14" t="s">
        <v>177</v>
      </c>
      <c r="D16" s="17"/>
      <c r="E16" s="17" t="s">
        <v>178</v>
      </c>
      <c r="F16" s="17"/>
      <c r="G16" s="14" t="s">
        <v>221</v>
      </c>
      <c r="H16" s="15"/>
      <c r="I16" s="16"/>
      <c r="J16" s="16"/>
      <c r="K16" s="16"/>
      <c r="M16" s="23"/>
      <c r="N16" s="22"/>
    </row>
    <row r="17" spans="1:14" s="11" customFormat="1" ht="25.5" outlineLevel="2" x14ac:dyDescent="0.2">
      <c r="A17" s="12"/>
      <c r="B17" s="23"/>
      <c r="C17" s="14" t="s">
        <v>179</v>
      </c>
      <c r="D17" s="17"/>
      <c r="E17" s="17" t="s">
        <v>180</v>
      </c>
      <c r="F17" s="17"/>
      <c r="G17" s="14" t="s">
        <v>221</v>
      </c>
      <c r="H17" s="15"/>
      <c r="I17" s="16"/>
      <c r="J17" s="16"/>
      <c r="K17" s="16"/>
      <c r="L17" s="14"/>
      <c r="M17" s="23"/>
      <c r="N17" s="22"/>
    </row>
    <row r="18" spans="1:14" s="4" customFormat="1" outlineLevel="2" x14ac:dyDescent="0.2">
      <c r="A18" s="12"/>
      <c r="B18" s="23"/>
      <c r="C18" s="14" t="s">
        <v>199</v>
      </c>
      <c r="D18" s="56"/>
      <c r="E18" s="63" t="s">
        <v>175</v>
      </c>
      <c r="F18" s="61"/>
      <c r="G18" s="14" t="s">
        <v>713</v>
      </c>
      <c r="H18" s="15"/>
      <c r="I18" s="16"/>
      <c r="J18" s="16"/>
      <c r="K18" s="16"/>
      <c r="L18" s="14"/>
      <c r="M18" s="23"/>
      <c r="N18" s="22"/>
    </row>
    <row r="19" spans="1:14" s="4" customFormat="1" ht="25.5" outlineLevel="2" x14ac:dyDescent="0.2">
      <c r="A19" s="12"/>
      <c r="B19" s="23"/>
      <c r="C19" s="14" t="s">
        <v>181</v>
      </c>
      <c r="D19" s="56"/>
      <c r="E19" s="63" t="s">
        <v>182</v>
      </c>
      <c r="F19" s="61"/>
      <c r="G19" s="14" t="s">
        <v>221</v>
      </c>
      <c r="H19" s="15"/>
      <c r="I19" s="16"/>
      <c r="J19" s="16"/>
      <c r="K19" s="16"/>
      <c r="L19" s="64"/>
      <c r="M19" s="23"/>
      <c r="N19" s="22"/>
    </row>
    <row r="20" spans="1:14" s="4" customFormat="1" ht="25.5" outlineLevel="2" x14ac:dyDescent="0.2">
      <c r="A20" s="12"/>
      <c r="B20" s="13"/>
      <c r="C20" s="14" t="s">
        <v>220</v>
      </c>
      <c r="D20" s="29"/>
      <c r="E20" s="17" t="s">
        <v>178</v>
      </c>
      <c r="F20" s="17"/>
      <c r="G20" s="31"/>
      <c r="H20" s="15"/>
      <c r="I20" s="16"/>
      <c r="J20" s="16"/>
      <c r="K20" s="16"/>
      <c r="L20" s="14"/>
      <c r="M20" s="23"/>
      <c r="N20" s="22"/>
    </row>
    <row r="21" spans="1:14" x14ac:dyDescent="0.2">
      <c r="A21" s="37"/>
      <c r="B21" s="35"/>
      <c r="C21" s="45"/>
      <c r="D21" s="46"/>
      <c r="E21" s="47"/>
      <c r="F21" s="47"/>
      <c r="G21" s="48"/>
      <c r="H21" s="49"/>
      <c r="I21" s="50"/>
      <c r="J21" s="50"/>
      <c r="K21" s="45"/>
      <c r="L21" s="45"/>
      <c r="M21" s="35"/>
      <c r="N21" s="36"/>
    </row>
    <row r="22" spans="1:14" s="11" customFormat="1" outlineLevel="1" x14ac:dyDescent="0.2">
      <c r="A22" s="6" t="s">
        <v>133</v>
      </c>
      <c r="B22" s="7"/>
      <c r="C22" s="8"/>
      <c r="D22" s="9"/>
      <c r="E22" s="9"/>
      <c r="F22" s="9"/>
      <c r="G22" s="9"/>
      <c r="H22" s="9"/>
      <c r="I22" s="10"/>
      <c r="J22" s="10"/>
      <c r="K22" s="10"/>
      <c r="L22" s="8"/>
      <c r="M22" s="23"/>
      <c r="N22" s="22"/>
    </row>
    <row r="23" spans="1:14" s="4" customFormat="1" outlineLevel="2" x14ac:dyDescent="0.2">
      <c r="A23" s="12"/>
      <c r="B23" s="13" t="s">
        <v>11</v>
      </c>
      <c r="C23" s="25"/>
      <c r="D23" s="24"/>
      <c r="E23" s="24"/>
      <c r="F23" s="24"/>
      <c r="G23" s="24"/>
      <c r="H23" s="24"/>
      <c r="I23" s="26"/>
      <c r="J23" s="26"/>
      <c r="K23" s="26"/>
      <c r="L23" s="25"/>
      <c r="M23" s="23"/>
      <c r="N23" s="22"/>
    </row>
    <row r="24" spans="1:14" ht="25.5" x14ac:dyDescent="0.2">
      <c r="A24" s="12"/>
      <c r="B24" s="23"/>
      <c r="C24" s="38" t="s">
        <v>14</v>
      </c>
      <c r="D24" s="39">
        <v>1</v>
      </c>
      <c r="E24" s="40" t="s">
        <v>28</v>
      </c>
      <c r="F24" s="40" t="s">
        <v>29</v>
      </c>
      <c r="G24" s="41" t="s">
        <v>10</v>
      </c>
      <c r="H24" s="42">
        <v>6.9444444444444441E-3</v>
      </c>
      <c r="I24" s="43"/>
      <c r="J24" s="44"/>
      <c r="K24" s="38"/>
      <c r="L24" s="38"/>
      <c r="M24" s="23"/>
      <c r="N24" s="22"/>
    </row>
  </sheetData>
  <conditionalFormatting sqref="G13:G19 G5:G8">
    <cfRule type="cellIs" dxfId="878" priority="117" operator="equal">
      <formula>"N/A"</formula>
    </cfRule>
    <cfRule type="cellIs" dxfId="877" priority="118" stopIfTrue="1" operator="equal">
      <formula>"Failed"</formula>
    </cfRule>
    <cfRule type="cellIs" dxfId="876" priority="119" stopIfTrue="1" operator="equal">
      <formula>"In progress"</formula>
    </cfRule>
    <cfRule type="cellIs" dxfId="875" priority="120" stopIfTrue="1" operator="equal">
      <formula>"Passed"</formula>
    </cfRule>
  </conditionalFormatting>
  <conditionalFormatting sqref="G9">
    <cfRule type="cellIs" dxfId="874" priority="1" operator="equal">
      <formula>"N/A"</formula>
    </cfRule>
    <cfRule type="cellIs" dxfId="873" priority="2" stopIfTrue="1" operator="equal">
      <formula>"Failed"</formula>
    </cfRule>
    <cfRule type="cellIs" dxfId="872" priority="3" stopIfTrue="1" operator="equal">
      <formula>"In progress"</formula>
    </cfRule>
    <cfRule type="cellIs" dxfId="871" priority="4" stopIfTrue="1" operator="equal">
      <formula>"Passed"</formula>
    </cfRule>
  </conditionalFormatting>
  <pageMargins left="0.19685039370078741" right="0.19685039370078741" top="0.19685039370078741" bottom="0.19685039370078741" header="0" footer="0"/>
  <pageSetup paperSize="8" scale="46" fitToHeight="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zoomScale="80" zoomScaleNormal="80" workbookViewId="0">
      <selection activeCell="L22" sqref="L22"/>
    </sheetView>
  </sheetViews>
  <sheetFormatPr baseColWidth="10" defaultRowHeight="12.75" outlineLevelRow="2" x14ac:dyDescent="0.2"/>
  <cols>
    <col min="1" max="1" width="2.7109375" style="18" customWidth="1"/>
    <col min="2" max="2" width="2.42578125" style="18" customWidth="1"/>
    <col min="3" max="3" width="74.28515625" style="18" customWidth="1"/>
    <col min="4" max="4" width="10.7109375" style="18" customWidth="1"/>
    <col min="5" max="5" width="9.42578125" style="18" customWidth="1"/>
    <col min="6" max="6" width="18.85546875" style="5" customWidth="1"/>
    <col min="7" max="7" width="14.5703125" style="18" customWidth="1"/>
    <col min="8" max="8" width="11.42578125" style="18" customWidth="1"/>
    <col min="9" max="9" width="16.28515625" style="18" customWidth="1"/>
    <col min="10" max="10" width="15.140625" style="18" customWidth="1"/>
    <col min="11" max="11" width="15.42578125" style="18" customWidth="1"/>
    <col min="12" max="12" width="62.7109375" style="18" customWidth="1"/>
    <col min="13" max="13" width="2" style="18" customWidth="1"/>
    <col min="14" max="14" width="2.28515625" style="18" customWidth="1"/>
    <col min="15" max="16384" width="11.42578125" style="18"/>
  </cols>
  <sheetData>
    <row r="1" spans="1:14" s="3" customFormat="1" x14ac:dyDescent="0.2">
      <c r="A1" s="2"/>
      <c r="B1" s="2"/>
      <c r="C1" s="126" t="s">
        <v>1</v>
      </c>
      <c r="D1" s="126" t="s">
        <v>0</v>
      </c>
      <c r="E1" s="125" t="s">
        <v>2</v>
      </c>
      <c r="F1" s="125" t="s">
        <v>3</v>
      </c>
      <c r="G1" s="125" t="s">
        <v>4</v>
      </c>
      <c r="H1" s="125" t="s">
        <v>5</v>
      </c>
      <c r="I1" s="127" t="s">
        <v>6</v>
      </c>
      <c r="J1" s="127" t="s">
        <v>7</v>
      </c>
      <c r="K1" s="127" t="s">
        <v>8</v>
      </c>
      <c r="L1" s="125" t="s">
        <v>9</v>
      </c>
      <c r="M1" s="125"/>
      <c r="N1" s="125"/>
    </row>
    <row r="2" spans="1:14" s="11" customFormat="1" outlineLevel="1" x14ac:dyDescent="0.2">
      <c r="A2" s="6" t="s">
        <v>799</v>
      </c>
      <c r="B2" s="7"/>
      <c r="C2" s="8"/>
      <c r="D2" s="9"/>
      <c r="E2" s="9"/>
      <c r="F2" s="9"/>
      <c r="G2" s="9"/>
      <c r="H2" s="9"/>
      <c r="I2" s="10"/>
      <c r="J2" s="10"/>
      <c r="K2" s="10"/>
      <c r="L2" s="8"/>
      <c r="M2" s="129"/>
      <c r="N2" s="128"/>
    </row>
    <row r="3" spans="1:14" s="124" customFormat="1" outlineLevel="2" x14ac:dyDescent="0.2">
      <c r="A3" s="12"/>
      <c r="B3" s="13" t="s">
        <v>803</v>
      </c>
      <c r="C3" s="131"/>
      <c r="D3" s="133"/>
      <c r="E3" s="144"/>
      <c r="F3" s="133"/>
      <c r="G3" s="130"/>
      <c r="H3" s="130"/>
      <c r="I3" s="132"/>
      <c r="J3" s="132"/>
      <c r="K3" s="132"/>
      <c r="L3" s="131"/>
      <c r="M3" s="129"/>
      <c r="N3" s="128"/>
    </row>
    <row r="4" spans="1:14" s="11" customFormat="1" outlineLevel="2" x14ac:dyDescent="0.2">
      <c r="A4" s="12"/>
      <c r="B4" s="129"/>
      <c r="C4" s="14" t="s">
        <v>880</v>
      </c>
      <c r="D4" s="14"/>
      <c r="E4" s="193" t="s">
        <v>155</v>
      </c>
      <c r="F4" s="145" t="s">
        <v>949</v>
      </c>
      <c r="G4" s="196" t="s">
        <v>716</v>
      </c>
      <c r="H4" s="15"/>
      <c r="I4" s="146"/>
      <c r="J4" s="16"/>
      <c r="K4" s="16"/>
      <c r="L4" s="14"/>
      <c r="M4" s="129"/>
      <c r="N4" s="128"/>
    </row>
    <row r="5" spans="1:14" s="11" customFormat="1" outlineLevel="2" x14ac:dyDescent="0.2">
      <c r="A5" s="12"/>
      <c r="B5" s="129"/>
      <c r="C5" s="113" t="s">
        <v>881</v>
      </c>
      <c r="D5" s="14"/>
      <c r="E5" s="145"/>
      <c r="F5" s="145"/>
      <c r="G5" s="196" t="s">
        <v>716</v>
      </c>
      <c r="H5" s="15"/>
      <c r="I5" s="146"/>
      <c r="J5" s="16"/>
      <c r="K5" s="16"/>
      <c r="L5" s="14"/>
      <c r="M5" s="129"/>
      <c r="N5" s="128"/>
    </row>
    <row r="6" spans="1:14" ht="25.5" outlineLevel="2" x14ac:dyDescent="0.2">
      <c r="A6" s="12"/>
      <c r="B6" s="13"/>
      <c r="C6" s="156" t="s">
        <v>825</v>
      </c>
      <c r="D6" s="157"/>
      <c r="E6" s="158" t="s">
        <v>821</v>
      </c>
      <c r="F6" s="157" t="s">
        <v>827</v>
      </c>
      <c r="G6" s="202" t="s">
        <v>716</v>
      </c>
      <c r="H6" s="156">
        <v>1.0069444444444444</v>
      </c>
      <c r="I6" s="157">
        <v>42618.375</v>
      </c>
      <c r="J6" s="157">
        <v>42618.708333333336</v>
      </c>
      <c r="K6" s="156"/>
      <c r="L6" s="156"/>
      <c r="M6" s="129"/>
      <c r="N6" s="128"/>
    </row>
    <row r="7" spans="1:14" outlineLevel="2" x14ac:dyDescent="0.2">
      <c r="A7" s="12"/>
      <c r="B7" s="13"/>
      <c r="C7" s="156" t="s">
        <v>826</v>
      </c>
      <c r="D7" s="157"/>
      <c r="E7" s="158" t="s">
        <v>822</v>
      </c>
      <c r="F7" s="157" t="s">
        <v>828</v>
      </c>
      <c r="G7" s="202" t="s">
        <v>716</v>
      </c>
      <c r="H7" s="156">
        <v>1.0069444444444444</v>
      </c>
      <c r="I7" s="157">
        <v>42618.375</v>
      </c>
      <c r="J7" s="157">
        <v>42618.708333333336</v>
      </c>
      <c r="K7" s="156"/>
      <c r="L7" s="156"/>
      <c r="M7" s="129"/>
      <c r="N7" s="128"/>
    </row>
    <row r="8" spans="1:14" ht="25.5" outlineLevel="2" x14ac:dyDescent="0.2">
      <c r="A8" s="12"/>
      <c r="B8" s="13"/>
      <c r="C8" s="156" t="s">
        <v>831</v>
      </c>
      <c r="D8" s="157"/>
      <c r="E8" s="158" t="s">
        <v>823</v>
      </c>
      <c r="F8" s="157" t="s">
        <v>829</v>
      </c>
      <c r="G8" s="202" t="s">
        <v>716</v>
      </c>
      <c r="H8" s="156">
        <v>1.0069444444444444</v>
      </c>
      <c r="I8" s="157">
        <v>42618.375</v>
      </c>
      <c r="J8" s="157">
        <v>42618.708333333336</v>
      </c>
      <c r="K8" s="156"/>
      <c r="L8" s="156"/>
      <c r="M8" s="129"/>
      <c r="N8" s="128"/>
    </row>
    <row r="9" spans="1:14" outlineLevel="2" x14ac:dyDescent="0.2">
      <c r="A9" s="12"/>
      <c r="B9" s="13"/>
      <c r="C9" s="156" t="s">
        <v>832</v>
      </c>
      <c r="D9" s="157"/>
      <c r="E9" s="158" t="s">
        <v>824</v>
      </c>
      <c r="F9" s="157" t="s">
        <v>830</v>
      </c>
      <c r="G9" s="202" t="s">
        <v>716</v>
      </c>
      <c r="H9" s="156">
        <v>1.0069444444444444</v>
      </c>
      <c r="I9" s="157">
        <v>42618.375</v>
      </c>
      <c r="J9" s="157">
        <v>42618.708333333336</v>
      </c>
      <c r="K9" s="156"/>
      <c r="L9" s="156"/>
      <c r="M9" s="129"/>
      <c r="N9" s="128"/>
    </row>
    <row r="10" spans="1:14" outlineLevel="2" x14ac:dyDescent="0.2">
      <c r="A10" s="12"/>
      <c r="B10" s="13"/>
      <c r="C10" s="14" t="s">
        <v>882</v>
      </c>
      <c r="D10" s="14"/>
      <c r="E10" s="14"/>
      <c r="F10" s="197" t="s">
        <v>919</v>
      </c>
      <c r="G10" s="196" t="s">
        <v>716</v>
      </c>
      <c r="H10" s="161"/>
      <c r="I10" s="157">
        <v>42618.375</v>
      </c>
      <c r="J10" s="157">
        <v>42618.708333333336</v>
      </c>
      <c r="K10" s="161"/>
      <c r="L10" s="161"/>
      <c r="M10" s="129"/>
      <c r="N10" s="128"/>
    </row>
    <row r="11" spans="1:14" outlineLevel="2" x14ac:dyDescent="0.2">
      <c r="A11" s="12"/>
      <c r="B11" s="13"/>
      <c r="C11" s="177" t="s">
        <v>920</v>
      </c>
      <c r="D11" s="16"/>
      <c r="E11" s="16"/>
      <c r="F11" s="177" t="s">
        <v>919</v>
      </c>
      <c r="G11" s="196" t="s">
        <v>716</v>
      </c>
      <c r="H11" s="16"/>
      <c r="I11" s="16">
        <v>42618.375</v>
      </c>
      <c r="J11" s="16">
        <v>42618.708333333336</v>
      </c>
      <c r="K11" s="16"/>
      <c r="L11" s="16"/>
      <c r="M11" s="129"/>
      <c r="N11" s="128"/>
    </row>
    <row r="12" spans="1:14" outlineLevel="2" x14ac:dyDescent="0.2">
      <c r="A12" s="12"/>
      <c r="B12" s="13"/>
      <c r="C12" s="183" t="s">
        <v>1012</v>
      </c>
      <c r="D12" s="183"/>
      <c r="E12" s="193" t="s">
        <v>155</v>
      </c>
      <c r="F12" s="183" t="s">
        <v>938</v>
      </c>
      <c r="G12" s="196" t="s">
        <v>716</v>
      </c>
      <c r="H12" s="183"/>
      <c r="I12" s="183"/>
      <c r="J12" s="183"/>
      <c r="K12" s="183"/>
      <c r="L12" s="183" t="s">
        <v>933</v>
      </c>
      <c r="M12" s="172"/>
      <c r="N12" s="173"/>
    </row>
    <row r="13" spans="1:14" s="11" customFormat="1" outlineLevel="2" x14ac:dyDescent="0.2">
      <c r="A13" s="12"/>
      <c r="B13" s="13" t="s">
        <v>11</v>
      </c>
      <c r="C13" s="131"/>
      <c r="D13" s="130"/>
      <c r="E13" s="130"/>
      <c r="F13" s="130"/>
      <c r="G13" s="130"/>
      <c r="H13" s="130"/>
      <c r="I13" s="132"/>
      <c r="J13" s="132"/>
      <c r="K13" s="132"/>
      <c r="L13" s="131"/>
      <c r="M13" s="129"/>
      <c r="N13" s="128"/>
    </row>
    <row r="14" spans="1:14" s="11" customFormat="1" outlineLevel="2" x14ac:dyDescent="0.2">
      <c r="A14" s="12"/>
      <c r="B14" s="13"/>
      <c r="C14" s="115" t="s">
        <v>783</v>
      </c>
      <c r="D14" s="116">
        <v>1</v>
      </c>
      <c r="E14" s="195" t="s">
        <v>155</v>
      </c>
      <c r="F14" s="117" t="s">
        <v>949</v>
      </c>
      <c r="G14" s="119" t="s">
        <v>716</v>
      </c>
      <c r="H14" s="118">
        <v>6.9444444444444441E-3</v>
      </c>
      <c r="I14" s="114">
        <v>42618.375</v>
      </c>
      <c r="J14" s="114">
        <f t="shared" ref="J14:J20" si="0">I14+H14</f>
        <v>42618.381944444445</v>
      </c>
      <c r="K14" s="114"/>
      <c r="L14" s="114" t="s">
        <v>1037</v>
      </c>
      <c r="M14" s="129"/>
      <c r="N14" s="128"/>
    </row>
    <row r="15" spans="1:14" s="11" customFormat="1" outlineLevel="2" x14ac:dyDescent="0.2">
      <c r="A15" s="12"/>
      <c r="B15" s="13"/>
      <c r="C15" s="115" t="s">
        <v>784</v>
      </c>
      <c r="D15" s="116">
        <v>1</v>
      </c>
      <c r="E15" s="195" t="s">
        <v>155</v>
      </c>
      <c r="F15" s="117" t="s">
        <v>949</v>
      </c>
      <c r="G15" s="119" t="s">
        <v>716</v>
      </c>
      <c r="H15" s="118">
        <v>6.9444444444444441E-3</v>
      </c>
      <c r="I15" s="187">
        <f>J14</f>
        <v>42618.381944444445</v>
      </c>
      <c r="J15" s="114">
        <f t="shared" si="0"/>
        <v>42618.388888888891</v>
      </c>
      <c r="K15" s="114"/>
      <c r="L15" s="114" t="s">
        <v>767</v>
      </c>
      <c r="M15" s="129"/>
      <c r="N15" s="128"/>
    </row>
    <row r="16" spans="1:14" s="11" customFormat="1" outlineLevel="2" x14ac:dyDescent="0.2">
      <c r="A16" s="12"/>
      <c r="B16" s="13"/>
      <c r="C16" s="188" t="s">
        <v>934</v>
      </c>
      <c r="D16" s="116">
        <v>1</v>
      </c>
      <c r="E16" s="117" t="s">
        <v>28</v>
      </c>
      <c r="F16" s="117" t="s">
        <v>29</v>
      </c>
      <c r="G16" s="119" t="s">
        <v>716</v>
      </c>
      <c r="H16" s="118">
        <v>2.0833333333333332E-2</v>
      </c>
      <c r="I16" s="114">
        <f>J15</f>
        <v>42618.388888888891</v>
      </c>
      <c r="J16" s="114">
        <f t="shared" si="0"/>
        <v>42618.409722222226</v>
      </c>
      <c r="K16" s="114"/>
      <c r="L16" s="114"/>
      <c r="M16" s="129"/>
      <c r="N16" s="128"/>
    </row>
    <row r="17" spans="1:14" s="11" customFormat="1" outlineLevel="2" x14ac:dyDescent="0.2">
      <c r="A17" s="12"/>
      <c r="B17" s="129"/>
      <c r="C17" s="14" t="s">
        <v>14</v>
      </c>
      <c r="D17" s="29">
        <v>1</v>
      </c>
      <c r="E17" s="17" t="s">
        <v>28</v>
      </c>
      <c r="F17" s="17" t="s">
        <v>29</v>
      </c>
      <c r="G17" s="258" t="s">
        <v>716</v>
      </c>
      <c r="H17" s="15">
        <v>6.9444444444444441E-3</v>
      </c>
      <c r="I17" s="16">
        <v>42618.416666666664</v>
      </c>
      <c r="J17" s="16">
        <f t="shared" si="0"/>
        <v>42618.423611111109</v>
      </c>
      <c r="K17" s="16"/>
      <c r="L17" s="16"/>
      <c r="M17" s="129"/>
      <c r="N17" s="128"/>
    </row>
    <row r="18" spans="1:14" s="11" customFormat="1" ht="25.5" outlineLevel="2" x14ac:dyDescent="0.2">
      <c r="A18" s="12"/>
      <c r="B18" s="129"/>
      <c r="C18" s="14" t="s">
        <v>715</v>
      </c>
      <c r="D18" s="29">
        <v>2</v>
      </c>
      <c r="E18" s="17" t="s">
        <v>28</v>
      </c>
      <c r="F18" s="17" t="s">
        <v>29</v>
      </c>
      <c r="G18" s="258" t="s">
        <v>716</v>
      </c>
      <c r="H18" s="15">
        <v>4.1666666666666664E-2</v>
      </c>
      <c r="I18" s="16">
        <f>+J17</f>
        <v>42618.423611111109</v>
      </c>
      <c r="J18" s="16">
        <f t="shared" si="0"/>
        <v>42618.465277777774</v>
      </c>
      <c r="K18" s="16"/>
      <c r="L18" s="190" t="s">
        <v>1038</v>
      </c>
      <c r="M18" s="129"/>
      <c r="N18" s="128"/>
    </row>
    <row r="19" spans="1:14" s="11" customFormat="1" outlineLevel="2" x14ac:dyDescent="0.2">
      <c r="A19" s="12"/>
      <c r="B19" s="129"/>
      <c r="C19" s="14" t="s">
        <v>16</v>
      </c>
      <c r="D19" s="29">
        <v>3</v>
      </c>
      <c r="E19" s="17" t="s">
        <v>28</v>
      </c>
      <c r="F19" s="17" t="s">
        <v>29</v>
      </c>
      <c r="G19" s="258" t="s">
        <v>716</v>
      </c>
      <c r="H19" s="15">
        <v>3.472222222222222E-3</v>
      </c>
      <c r="I19" s="16">
        <f>+J18</f>
        <v>42618.465277777774</v>
      </c>
      <c r="J19" s="16">
        <f t="shared" si="0"/>
        <v>42618.468749999993</v>
      </c>
      <c r="K19" s="16"/>
      <c r="L19" s="16"/>
      <c r="M19" s="129"/>
      <c r="N19" s="128"/>
    </row>
    <row r="20" spans="1:14" s="124" customFormat="1" ht="63.75" outlineLevel="2" x14ac:dyDescent="0.2">
      <c r="A20" s="12"/>
      <c r="B20" s="129"/>
      <c r="C20" s="14" t="s">
        <v>17</v>
      </c>
      <c r="D20" s="29">
        <v>4</v>
      </c>
      <c r="E20" s="17" t="s">
        <v>28</v>
      </c>
      <c r="F20" s="17" t="s">
        <v>29</v>
      </c>
      <c r="G20" s="258" t="s">
        <v>716</v>
      </c>
      <c r="H20" s="15">
        <v>1.0416666666666666E-2</v>
      </c>
      <c r="I20" s="16">
        <f>+J19</f>
        <v>42618.468749999993</v>
      </c>
      <c r="J20" s="16">
        <f t="shared" si="0"/>
        <v>42618.479166666657</v>
      </c>
      <c r="K20" s="16"/>
      <c r="L20" s="16" t="s">
        <v>135</v>
      </c>
      <c r="M20" s="129"/>
      <c r="N20" s="128"/>
    </row>
    <row r="21" spans="1:14" s="124" customFormat="1" outlineLevel="2" x14ac:dyDescent="0.2">
      <c r="A21" s="12"/>
      <c r="B21" s="129"/>
      <c r="C21" s="14" t="s">
        <v>18</v>
      </c>
      <c r="D21" s="29">
        <v>5</v>
      </c>
      <c r="E21" s="17" t="s">
        <v>28</v>
      </c>
      <c r="F21" s="17" t="s">
        <v>29</v>
      </c>
      <c r="G21" s="258" t="s">
        <v>716</v>
      </c>
      <c r="H21" s="176">
        <v>3.472222222222222E-3</v>
      </c>
      <c r="I21" s="177">
        <f t="shared" ref="I21:I25" si="1">+J20</f>
        <v>42618.479166666657</v>
      </c>
      <c r="J21" s="177">
        <f t="shared" ref="J21:J25" si="2">I21+H21</f>
        <v>42618.482638888876</v>
      </c>
      <c r="K21" s="16"/>
      <c r="L21" s="16" t="s">
        <v>717</v>
      </c>
      <c r="M21" s="129"/>
      <c r="N21" s="128"/>
    </row>
    <row r="22" spans="1:14" s="124" customFormat="1" ht="89.25" outlineLevel="2" x14ac:dyDescent="0.2">
      <c r="A22" s="12"/>
      <c r="B22" s="129"/>
      <c r="C22" s="14" t="s">
        <v>19</v>
      </c>
      <c r="D22" s="29">
        <v>6</v>
      </c>
      <c r="E22" s="17" t="s">
        <v>28</v>
      </c>
      <c r="F22" s="17" t="s">
        <v>29</v>
      </c>
      <c r="G22" s="258" t="s">
        <v>716</v>
      </c>
      <c r="H22" s="176">
        <v>3.472222222222222E-3</v>
      </c>
      <c r="I22" s="177">
        <f t="shared" si="1"/>
        <v>42618.482638888876</v>
      </c>
      <c r="J22" s="177">
        <f t="shared" si="2"/>
        <v>42618.486111111095</v>
      </c>
      <c r="K22" s="16"/>
      <c r="L22" s="190" t="s">
        <v>1040</v>
      </c>
      <c r="M22" s="129"/>
      <c r="N22" s="128"/>
    </row>
    <row r="23" spans="1:14" s="124" customFormat="1" ht="38.25" outlineLevel="2" x14ac:dyDescent="0.2">
      <c r="A23" s="12"/>
      <c r="B23" s="129"/>
      <c r="C23" s="14" t="s">
        <v>20</v>
      </c>
      <c r="D23" s="29">
        <v>7</v>
      </c>
      <c r="E23" s="17" t="s">
        <v>28</v>
      </c>
      <c r="F23" s="17" t="s">
        <v>29</v>
      </c>
      <c r="G23" s="258" t="s">
        <v>716</v>
      </c>
      <c r="H23" s="176">
        <v>1.0416666666666666E-2</v>
      </c>
      <c r="I23" s="177">
        <f t="shared" si="1"/>
        <v>42618.486111111095</v>
      </c>
      <c r="J23" s="177">
        <f t="shared" si="2"/>
        <v>42618.496527777759</v>
      </c>
      <c r="K23" s="16"/>
      <c r="L23" s="190" t="s">
        <v>1039</v>
      </c>
      <c r="M23" s="129"/>
      <c r="N23" s="128"/>
    </row>
    <row r="24" spans="1:14" s="124" customFormat="1" outlineLevel="2" x14ac:dyDescent="0.2">
      <c r="A24" s="12"/>
      <c r="B24" s="129"/>
      <c r="C24" s="14" t="s">
        <v>21</v>
      </c>
      <c r="D24" s="29">
        <v>9</v>
      </c>
      <c r="E24" s="17" t="s">
        <v>28</v>
      </c>
      <c r="F24" s="17" t="s">
        <v>29</v>
      </c>
      <c r="G24" s="258" t="s">
        <v>716</v>
      </c>
      <c r="H24" s="176">
        <v>6.9444444444444441E-3</v>
      </c>
      <c r="I24" s="177">
        <f>J23</f>
        <v>42618.496527777759</v>
      </c>
      <c r="J24" s="177">
        <f t="shared" si="2"/>
        <v>42618.503472222204</v>
      </c>
      <c r="K24" s="16"/>
      <c r="L24" s="16" t="s">
        <v>512</v>
      </c>
      <c r="M24" s="129"/>
      <c r="N24" s="128"/>
    </row>
    <row r="25" spans="1:14" s="124" customFormat="1" ht="38.25" outlineLevel="2" x14ac:dyDescent="0.2">
      <c r="A25" s="12"/>
      <c r="B25" s="129"/>
      <c r="C25" s="14" t="s">
        <v>22</v>
      </c>
      <c r="D25" s="29">
        <v>10</v>
      </c>
      <c r="E25" s="17" t="s">
        <v>28</v>
      </c>
      <c r="F25" s="17" t="s">
        <v>29</v>
      </c>
      <c r="G25" s="258" t="s">
        <v>716</v>
      </c>
      <c r="H25" s="176">
        <v>3.472222222222222E-3</v>
      </c>
      <c r="I25" s="177">
        <f t="shared" si="1"/>
        <v>42618.503472222204</v>
      </c>
      <c r="J25" s="177">
        <f t="shared" si="2"/>
        <v>42618.506944444423</v>
      </c>
      <c r="K25" s="16"/>
      <c r="L25" s="16" t="s">
        <v>59</v>
      </c>
      <c r="M25" s="129"/>
      <c r="N25" s="128"/>
    </row>
    <row r="26" spans="1:14" s="124" customFormat="1" outlineLevel="2" x14ac:dyDescent="0.2">
      <c r="A26" s="12"/>
      <c r="B26" s="129"/>
      <c r="C26" s="14" t="s">
        <v>23</v>
      </c>
      <c r="D26" s="29">
        <v>11</v>
      </c>
      <c r="E26" s="17" t="s">
        <v>28</v>
      </c>
      <c r="F26" s="17" t="s">
        <v>29</v>
      </c>
      <c r="G26" s="258" t="s">
        <v>716</v>
      </c>
      <c r="H26" s="15">
        <v>3.472222222222222E-3</v>
      </c>
      <c r="I26" s="16">
        <f>J24</f>
        <v>42618.503472222204</v>
      </c>
      <c r="J26" s="16">
        <f>I26+H26</f>
        <v>42618.506944444423</v>
      </c>
      <c r="K26" s="16"/>
      <c r="L26" s="16"/>
      <c r="M26" s="129"/>
      <c r="N26" s="128"/>
    </row>
    <row r="27" spans="1:14" s="124" customFormat="1" outlineLevel="2" x14ac:dyDescent="0.2">
      <c r="A27" s="12"/>
      <c r="B27" s="129"/>
      <c r="C27" s="14" t="s">
        <v>24</v>
      </c>
      <c r="D27" s="29">
        <v>12</v>
      </c>
      <c r="E27" s="17" t="s">
        <v>28</v>
      </c>
      <c r="F27" s="17" t="s">
        <v>29</v>
      </c>
      <c r="G27" s="258" t="s">
        <v>716</v>
      </c>
      <c r="H27" s="15">
        <v>3.472222222222222E-3</v>
      </c>
      <c r="I27" s="16">
        <f>J26</f>
        <v>42618.506944444423</v>
      </c>
      <c r="J27" s="16">
        <f>I27+H27</f>
        <v>42618.510416666642</v>
      </c>
      <c r="K27" s="16"/>
      <c r="L27" s="16" t="s">
        <v>69</v>
      </c>
      <c r="M27" s="129"/>
      <c r="N27" s="128"/>
    </row>
    <row r="28" spans="1:14" s="124" customFormat="1" outlineLevel="2" x14ac:dyDescent="0.2">
      <c r="A28" s="12"/>
      <c r="B28" s="129"/>
      <c r="C28" s="14" t="s">
        <v>25</v>
      </c>
      <c r="D28" s="29">
        <v>13</v>
      </c>
      <c r="E28" s="17" t="s">
        <v>28</v>
      </c>
      <c r="F28" s="17" t="s">
        <v>29</v>
      </c>
      <c r="G28" s="258" t="s">
        <v>716</v>
      </c>
      <c r="H28" s="15">
        <v>3.472222222222222E-3</v>
      </c>
      <c r="I28" s="16">
        <f>J27</f>
        <v>42618.510416666642</v>
      </c>
      <c r="J28" s="16">
        <f t="shared" ref="J28:J33" si="3">I28+H28</f>
        <v>42618.513888888861</v>
      </c>
      <c r="K28" s="16"/>
      <c r="L28" s="16"/>
      <c r="M28" s="129"/>
      <c r="N28" s="128"/>
    </row>
    <row r="29" spans="1:14" s="124" customFormat="1" outlineLevel="2" x14ac:dyDescent="0.2">
      <c r="A29" s="12"/>
      <c r="B29" s="129"/>
      <c r="C29" s="14" t="s">
        <v>26</v>
      </c>
      <c r="D29" s="29">
        <v>14</v>
      </c>
      <c r="E29" s="17" t="s">
        <v>28</v>
      </c>
      <c r="F29" s="17" t="s">
        <v>29</v>
      </c>
      <c r="G29" s="258" t="s">
        <v>716</v>
      </c>
      <c r="H29" s="15">
        <v>3.472222222222222E-3</v>
      </c>
      <c r="I29" s="16">
        <f t="shared" ref="I29" si="4">J28</f>
        <v>42618.513888888861</v>
      </c>
      <c r="J29" s="16">
        <f t="shared" si="3"/>
        <v>42618.51736111108</v>
      </c>
      <c r="K29" s="16"/>
      <c r="L29" s="16"/>
      <c r="M29" s="129"/>
      <c r="N29" s="128"/>
    </row>
    <row r="30" spans="1:14" s="124" customFormat="1" outlineLevel="2" x14ac:dyDescent="0.2">
      <c r="A30" s="12"/>
      <c r="B30" s="129"/>
      <c r="C30" s="14" t="s">
        <v>27</v>
      </c>
      <c r="D30" s="29">
        <v>15</v>
      </c>
      <c r="E30" s="17" t="s">
        <v>28</v>
      </c>
      <c r="F30" s="17" t="s">
        <v>29</v>
      </c>
      <c r="G30" s="258" t="s">
        <v>716</v>
      </c>
      <c r="H30" s="15">
        <v>3.472222222222222E-3</v>
      </c>
      <c r="I30" s="16">
        <f>J28</f>
        <v>42618.513888888861</v>
      </c>
      <c r="J30" s="16">
        <f t="shared" si="3"/>
        <v>42618.51736111108</v>
      </c>
      <c r="K30" s="16"/>
      <c r="L30" s="16" t="s">
        <v>1036</v>
      </c>
      <c r="M30" s="129"/>
      <c r="N30" s="128"/>
    </row>
    <row r="31" spans="1:14" s="124" customFormat="1" ht="25.5" outlineLevel="2" x14ac:dyDescent="0.2">
      <c r="A31" s="12"/>
      <c r="B31" s="129"/>
      <c r="C31" s="197" t="s">
        <v>935</v>
      </c>
      <c r="D31" s="29">
        <v>15</v>
      </c>
      <c r="E31" s="17" t="s">
        <v>28</v>
      </c>
      <c r="F31" s="17" t="s">
        <v>29</v>
      </c>
      <c r="G31" s="258" t="s">
        <v>716</v>
      </c>
      <c r="H31" s="15">
        <v>3.472222222222222E-3</v>
      </c>
      <c r="I31" s="16">
        <f>J29</f>
        <v>42618.51736111108</v>
      </c>
      <c r="J31" s="16">
        <f t="shared" si="3"/>
        <v>42618.520833333299</v>
      </c>
      <c r="K31" s="16"/>
      <c r="L31" s="177" t="s">
        <v>936</v>
      </c>
      <c r="M31" s="129"/>
      <c r="N31" s="128"/>
    </row>
    <row r="32" spans="1:14" s="124" customFormat="1" outlineLevel="2" x14ac:dyDescent="0.2">
      <c r="A32" s="12"/>
      <c r="B32" s="13" t="s">
        <v>12</v>
      </c>
      <c r="C32" s="131"/>
      <c r="D32" s="134"/>
      <c r="E32" s="133"/>
      <c r="F32" s="133"/>
      <c r="G32" s="130"/>
      <c r="H32" s="130"/>
      <c r="I32" s="153">
        <f>J31</f>
        <v>42618.520833333299</v>
      </c>
      <c r="J32" s="153">
        <f t="shared" si="3"/>
        <v>42618.520833333299</v>
      </c>
      <c r="K32" s="132"/>
      <c r="L32" s="131"/>
      <c r="M32" s="129"/>
      <c r="N32" s="128"/>
    </row>
    <row r="33" spans="1:14" s="124" customFormat="1" outlineLevel="2" x14ac:dyDescent="0.2">
      <c r="A33" s="12"/>
      <c r="B33" s="13"/>
      <c r="C33" s="14" t="s">
        <v>31</v>
      </c>
      <c r="D33" s="29">
        <v>20</v>
      </c>
      <c r="E33" s="17" t="s">
        <v>28</v>
      </c>
      <c r="F33" s="17" t="s">
        <v>29</v>
      </c>
      <c r="G33" s="258" t="s">
        <v>716</v>
      </c>
      <c r="H33" s="15">
        <v>2.0833333333333332E-2</v>
      </c>
      <c r="I33" s="16">
        <f>J31+0.08</f>
        <v>42618.600833333301</v>
      </c>
      <c r="J33" s="16">
        <f t="shared" si="3"/>
        <v>42618.621666666637</v>
      </c>
      <c r="K33" s="16"/>
      <c r="L33" s="14"/>
      <c r="M33" s="129"/>
      <c r="N33" s="128"/>
    </row>
    <row r="34" spans="1:14" s="124" customFormat="1" outlineLevel="2" x14ac:dyDescent="0.2">
      <c r="A34" s="12"/>
      <c r="B34" s="13"/>
      <c r="C34" s="14" t="s">
        <v>32</v>
      </c>
      <c r="D34" s="29">
        <v>30</v>
      </c>
      <c r="E34" s="17" t="s">
        <v>28</v>
      </c>
      <c r="F34" s="17" t="s">
        <v>29</v>
      </c>
      <c r="G34" s="258" t="s">
        <v>716</v>
      </c>
      <c r="H34" s="15">
        <v>3.472222222222222E-3</v>
      </c>
      <c r="I34" s="16">
        <f>J33</f>
        <v>42618.621666666637</v>
      </c>
      <c r="J34" s="16">
        <f>I34+H34</f>
        <v>42618.625138888856</v>
      </c>
      <c r="K34" s="16"/>
      <c r="L34" s="14"/>
      <c r="M34" s="129"/>
      <c r="N34" s="128"/>
    </row>
    <row r="35" spans="1:14" s="124" customFormat="1" outlineLevel="2" x14ac:dyDescent="0.2">
      <c r="A35" s="12"/>
      <c r="B35" s="13"/>
      <c r="C35" s="14" t="s">
        <v>33</v>
      </c>
      <c r="D35" s="29">
        <v>31</v>
      </c>
      <c r="E35" s="17" t="s">
        <v>28</v>
      </c>
      <c r="F35" s="17" t="s">
        <v>29</v>
      </c>
      <c r="G35" s="258" t="s">
        <v>716</v>
      </c>
      <c r="H35" s="15">
        <v>3.472222222222222E-3</v>
      </c>
      <c r="I35" s="16">
        <f>J34</f>
        <v>42618.625138888856</v>
      </c>
      <c r="J35" s="16">
        <f t="shared" ref="J35:J63" si="5">I35+H35</f>
        <v>42618.628611111075</v>
      </c>
      <c r="K35" s="16"/>
      <c r="L35" s="14"/>
      <c r="M35" s="129"/>
      <c r="N35" s="128"/>
    </row>
    <row r="36" spans="1:14" s="124" customFormat="1" outlineLevel="2" x14ac:dyDescent="0.2">
      <c r="A36" s="12"/>
      <c r="B36" s="13"/>
      <c r="C36" s="14" t="s">
        <v>34</v>
      </c>
      <c r="D36" s="29">
        <v>32</v>
      </c>
      <c r="E36" s="17" t="s">
        <v>28</v>
      </c>
      <c r="F36" s="17" t="s">
        <v>29</v>
      </c>
      <c r="G36" s="258" t="s">
        <v>716</v>
      </c>
      <c r="H36" s="15">
        <v>6.9444444444444441E-3</v>
      </c>
      <c r="I36" s="16">
        <f>J35</f>
        <v>42618.628611111075</v>
      </c>
      <c r="J36" s="16">
        <f t="shared" si="5"/>
        <v>42618.63555555552</v>
      </c>
      <c r="K36" s="16"/>
      <c r="L36" s="14"/>
      <c r="M36" s="129"/>
      <c r="N36" s="128"/>
    </row>
    <row r="37" spans="1:14" s="124" customFormat="1" outlineLevel="2" x14ac:dyDescent="0.2">
      <c r="A37" s="12"/>
      <c r="B37" s="13"/>
      <c r="C37" s="14" t="s">
        <v>35</v>
      </c>
      <c r="D37" s="29">
        <v>33</v>
      </c>
      <c r="E37" s="17" t="s">
        <v>28</v>
      </c>
      <c r="F37" s="17" t="s">
        <v>29</v>
      </c>
      <c r="G37" s="258" t="s">
        <v>716</v>
      </c>
      <c r="H37" s="15">
        <v>1.3888888888888888E-2</v>
      </c>
      <c r="I37" s="16">
        <f t="shared" ref="I37:I53" si="6">+J36</f>
        <v>42618.63555555552</v>
      </c>
      <c r="J37" s="16">
        <f t="shared" si="5"/>
        <v>42618.649444444411</v>
      </c>
      <c r="K37" s="16"/>
      <c r="L37" s="14"/>
      <c r="M37" s="129"/>
      <c r="N37" s="128"/>
    </row>
    <row r="38" spans="1:14" s="124" customFormat="1" outlineLevel="2" x14ac:dyDescent="0.2">
      <c r="A38" s="12"/>
      <c r="B38" s="13"/>
      <c r="C38" s="14" t="s">
        <v>36</v>
      </c>
      <c r="D38" s="29">
        <v>34</v>
      </c>
      <c r="E38" s="17" t="s">
        <v>28</v>
      </c>
      <c r="F38" s="17" t="s">
        <v>29</v>
      </c>
      <c r="G38" s="258" t="s">
        <v>716</v>
      </c>
      <c r="H38" s="15">
        <v>1.7361111111111112E-2</v>
      </c>
      <c r="I38" s="16">
        <f t="shared" si="6"/>
        <v>42618.649444444411</v>
      </c>
      <c r="J38" s="16">
        <f t="shared" si="5"/>
        <v>42618.66680555552</v>
      </c>
      <c r="K38" s="16"/>
      <c r="L38" s="14"/>
      <c r="M38" s="129"/>
      <c r="N38" s="128"/>
    </row>
    <row r="39" spans="1:14" s="124" customFormat="1" outlineLevel="2" x14ac:dyDescent="0.2">
      <c r="A39" s="12"/>
      <c r="B39" s="13"/>
      <c r="C39" s="14" t="s">
        <v>37</v>
      </c>
      <c r="D39" s="29">
        <v>35</v>
      </c>
      <c r="E39" s="17" t="s">
        <v>28</v>
      </c>
      <c r="F39" s="17" t="s">
        <v>29</v>
      </c>
      <c r="G39" s="258" t="s">
        <v>716</v>
      </c>
      <c r="H39" s="15">
        <v>6.9444444444444441E-3</v>
      </c>
      <c r="I39" s="16">
        <f t="shared" si="6"/>
        <v>42618.66680555552</v>
      </c>
      <c r="J39" s="16">
        <f t="shared" si="5"/>
        <v>42618.673749999965</v>
      </c>
      <c r="K39" s="16"/>
      <c r="L39" s="14"/>
      <c r="M39" s="129"/>
      <c r="N39" s="128"/>
    </row>
    <row r="40" spans="1:14" s="124" customFormat="1" outlineLevel="2" x14ac:dyDescent="0.2">
      <c r="A40" s="12"/>
      <c r="B40" s="13"/>
      <c r="C40" s="14" t="s">
        <v>38</v>
      </c>
      <c r="D40" s="29">
        <v>36</v>
      </c>
      <c r="E40" s="17" t="s">
        <v>28</v>
      </c>
      <c r="F40" s="17" t="s">
        <v>29</v>
      </c>
      <c r="G40" s="258" t="s">
        <v>716</v>
      </c>
      <c r="H40" s="15">
        <v>6.9444444444444441E-3</v>
      </c>
      <c r="I40" s="16">
        <f t="shared" si="6"/>
        <v>42618.673749999965</v>
      </c>
      <c r="J40" s="16">
        <f t="shared" si="5"/>
        <v>42618.680694444411</v>
      </c>
      <c r="K40" s="16"/>
      <c r="L40" s="14"/>
      <c r="M40" s="129"/>
      <c r="N40" s="128"/>
    </row>
    <row r="41" spans="1:14" s="124" customFormat="1" ht="25.5" outlineLevel="2" x14ac:dyDescent="0.2">
      <c r="A41" s="12"/>
      <c r="B41" s="13"/>
      <c r="C41" s="14" t="s">
        <v>39</v>
      </c>
      <c r="D41" s="29">
        <v>37</v>
      </c>
      <c r="E41" s="17" t="s">
        <v>28</v>
      </c>
      <c r="F41" s="17" t="s">
        <v>29</v>
      </c>
      <c r="G41" s="258" t="s">
        <v>716</v>
      </c>
      <c r="H41" s="118">
        <v>1.0416666666666666E-2</v>
      </c>
      <c r="I41" s="16">
        <f t="shared" si="6"/>
        <v>42618.680694444411</v>
      </c>
      <c r="J41" s="16">
        <f t="shared" si="5"/>
        <v>42618.691111111075</v>
      </c>
      <c r="K41" s="16"/>
      <c r="L41" s="32" t="s">
        <v>719</v>
      </c>
      <c r="M41" s="129"/>
      <c r="N41" s="128"/>
    </row>
    <row r="42" spans="1:14" s="124" customFormat="1" outlineLevel="2" x14ac:dyDescent="0.2">
      <c r="A42" s="12"/>
      <c r="B42" s="13"/>
      <c r="C42" s="14" t="s">
        <v>40</v>
      </c>
      <c r="D42" s="29">
        <v>38</v>
      </c>
      <c r="E42" s="17" t="s">
        <v>28</v>
      </c>
      <c r="F42" s="17" t="s">
        <v>29</v>
      </c>
      <c r="G42" s="258" t="s">
        <v>716</v>
      </c>
      <c r="H42" s="15">
        <v>3.472222222222222E-3</v>
      </c>
      <c r="I42" s="16">
        <f t="shared" si="6"/>
        <v>42618.691111111075</v>
      </c>
      <c r="J42" s="16">
        <f t="shared" si="5"/>
        <v>42618.694583333294</v>
      </c>
      <c r="K42" s="16"/>
      <c r="L42" s="14"/>
      <c r="M42" s="129"/>
      <c r="N42" s="128"/>
    </row>
    <row r="43" spans="1:14" s="124" customFormat="1" outlineLevel="2" x14ac:dyDescent="0.2">
      <c r="A43" s="12"/>
      <c r="B43" s="13"/>
      <c r="C43" s="14" t="s">
        <v>41</v>
      </c>
      <c r="D43" s="29">
        <v>39</v>
      </c>
      <c r="E43" s="17" t="s">
        <v>28</v>
      </c>
      <c r="F43" s="17" t="s">
        <v>29</v>
      </c>
      <c r="G43" s="258" t="s">
        <v>716</v>
      </c>
      <c r="H43" s="15">
        <v>3.472222222222222E-3</v>
      </c>
      <c r="I43" s="16">
        <f t="shared" si="6"/>
        <v>42618.694583333294</v>
      </c>
      <c r="J43" s="16">
        <f t="shared" si="5"/>
        <v>42618.698055555513</v>
      </c>
      <c r="K43" s="16"/>
      <c r="L43" s="14"/>
      <c r="M43" s="129"/>
      <c r="N43" s="128"/>
    </row>
    <row r="44" spans="1:14" s="124" customFormat="1" outlineLevel="2" x14ac:dyDescent="0.2">
      <c r="A44" s="12"/>
      <c r="B44" s="13"/>
      <c r="C44" s="14" t="s">
        <v>42</v>
      </c>
      <c r="D44" s="29">
        <v>40</v>
      </c>
      <c r="E44" s="17" t="s">
        <v>28</v>
      </c>
      <c r="F44" s="17" t="s">
        <v>29</v>
      </c>
      <c r="G44" s="258" t="s">
        <v>716</v>
      </c>
      <c r="H44" s="15">
        <v>3.472222222222222E-3</v>
      </c>
      <c r="I44" s="16">
        <f>J43</f>
        <v>42618.698055555513</v>
      </c>
      <c r="J44" s="16">
        <f t="shared" si="5"/>
        <v>42618.701527777732</v>
      </c>
      <c r="K44" s="16"/>
      <c r="L44" s="14"/>
      <c r="M44" s="129"/>
      <c r="N44" s="128"/>
    </row>
    <row r="45" spans="1:14" s="124" customFormat="1" outlineLevel="2" x14ac:dyDescent="0.2">
      <c r="A45" s="12"/>
      <c r="B45" s="13"/>
      <c r="C45" s="14" t="s">
        <v>43</v>
      </c>
      <c r="D45" s="29">
        <v>41</v>
      </c>
      <c r="E45" s="17" t="s">
        <v>28</v>
      </c>
      <c r="F45" s="17" t="s">
        <v>29</v>
      </c>
      <c r="G45" s="258" t="s">
        <v>716</v>
      </c>
      <c r="H45" s="15">
        <v>1.7361111111111112E-2</v>
      </c>
      <c r="I45" s="16">
        <f t="shared" ref="I45:I52" si="7">+J44</f>
        <v>42618.701527777732</v>
      </c>
      <c r="J45" s="16">
        <f t="shared" si="5"/>
        <v>42618.718888888841</v>
      </c>
      <c r="K45" s="16"/>
      <c r="L45" s="14"/>
      <c r="M45" s="129"/>
      <c r="N45" s="128"/>
    </row>
    <row r="46" spans="1:14" s="124" customFormat="1" outlineLevel="2" x14ac:dyDescent="0.2">
      <c r="A46" s="12"/>
      <c r="B46" s="13"/>
      <c r="C46" s="14" t="s">
        <v>44</v>
      </c>
      <c r="D46" s="29">
        <v>42</v>
      </c>
      <c r="E46" s="17" t="s">
        <v>28</v>
      </c>
      <c r="F46" s="17" t="s">
        <v>29</v>
      </c>
      <c r="G46" s="258" t="s">
        <v>716</v>
      </c>
      <c r="H46" s="15">
        <v>3.472222222222222E-3</v>
      </c>
      <c r="I46" s="16">
        <f t="shared" si="7"/>
        <v>42618.718888888841</v>
      </c>
      <c r="J46" s="16">
        <f t="shared" si="5"/>
        <v>42618.72236111106</v>
      </c>
      <c r="K46" s="16"/>
      <c r="L46" s="14"/>
      <c r="M46" s="129"/>
      <c r="N46" s="128"/>
    </row>
    <row r="47" spans="1:14" s="124" customFormat="1" ht="38.25" outlineLevel="2" x14ac:dyDescent="0.2">
      <c r="A47" s="12"/>
      <c r="B47" s="13"/>
      <c r="C47" s="14" t="s">
        <v>45</v>
      </c>
      <c r="D47" s="29">
        <v>43</v>
      </c>
      <c r="E47" s="17" t="s">
        <v>28</v>
      </c>
      <c r="F47" s="17" t="s">
        <v>29</v>
      </c>
      <c r="G47" s="258" t="s">
        <v>716</v>
      </c>
      <c r="H47" s="118">
        <v>5.5555555555555552E-2</v>
      </c>
      <c r="I47" s="16">
        <f t="shared" si="7"/>
        <v>42618.72236111106</v>
      </c>
      <c r="J47" s="16">
        <f t="shared" si="5"/>
        <v>42618.777916666615</v>
      </c>
      <c r="K47" s="16"/>
      <c r="L47" s="34" t="s">
        <v>720</v>
      </c>
      <c r="M47" s="129"/>
      <c r="N47" s="128"/>
    </row>
    <row r="48" spans="1:14" s="124" customFormat="1" outlineLevel="2" x14ac:dyDescent="0.2">
      <c r="A48" s="12"/>
      <c r="B48" s="13"/>
      <c r="C48" s="14" t="s">
        <v>46</v>
      </c>
      <c r="D48" s="29">
        <v>44</v>
      </c>
      <c r="E48" s="17" t="s">
        <v>28</v>
      </c>
      <c r="F48" s="17" t="s">
        <v>29</v>
      </c>
      <c r="G48" s="258" t="s">
        <v>716</v>
      </c>
      <c r="H48" s="15">
        <v>1.0416666666666666E-2</v>
      </c>
      <c r="I48" s="16">
        <f>J47+0.6</f>
        <v>42619.377916666614</v>
      </c>
      <c r="J48" s="16">
        <f t="shared" si="5"/>
        <v>42619.388333333278</v>
      </c>
      <c r="K48" s="16"/>
      <c r="L48" s="89"/>
      <c r="M48" s="129"/>
      <c r="N48" s="128"/>
    </row>
    <row r="49" spans="1:14" s="11" customFormat="1" ht="25.5" outlineLevel="2" x14ac:dyDescent="0.2">
      <c r="A49" s="12"/>
      <c r="B49" s="13"/>
      <c r="C49" s="14" t="s">
        <v>47</v>
      </c>
      <c r="D49" s="29">
        <v>50</v>
      </c>
      <c r="E49" s="17" t="s">
        <v>28</v>
      </c>
      <c r="F49" s="17" t="s">
        <v>29</v>
      </c>
      <c r="G49" s="258" t="s">
        <v>716</v>
      </c>
      <c r="H49" s="15">
        <v>3.472222222222222E-3</v>
      </c>
      <c r="I49" s="16">
        <f t="shared" ref="I49" si="8">+J48</f>
        <v>42619.388333333278</v>
      </c>
      <c r="J49" s="16">
        <f t="shared" si="5"/>
        <v>42619.391805555497</v>
      </c>
      <c r="K49" s="16"/>
      <c r="L49" s="14" t="s">
        <v>721</v>
      </c>
      <c r="M49" s="129"/>
      <c r="N49" s="128"/>
    </row>
    <row r="50" spans="1:14" s="11" customFormat="1" outlineLevel="2" x14ac:dyDescent="0.2">
      <c r="A50" s="12"/>
      <c r="B50" s="13"/>
      <c r="C50" s="14" t="s">
        <v>48</v>
      </c>
      <c r="D50" s="29">
        <v>51</v>
      </c>
      <c r="E50" s="17" t="s">
        <v>28</v>
      </c>
      <c r="F50" s="17" t="s">
        <v>29</v>
      </c>
      <c r="G50" s="258" t="s">
        <v>716</v>
      </c>
      <c r="H50" s="118">
        <v>1.0416666666666666E-2</v>
      </c>
      <c r="I50" s="16">
        <f t="shared" si="7"/>
        <v>42619.391805555497</v>
      </c>
      <c r="J50" s="16">
        <f t="shared" si="5"/>
        <v>42619.402222222161</v>
      </c>
      <c r="K50" s="16"/>
      <c r="L50" s="14"/>
      <c r="M50" s="129"/>
      <c r="N50" s="128"/>
    </row>
    <row r="51" spans="1:14" s="11" customFormat="1" ht="25.5" outlineLevel="2" x14ac:dyDescent="0.2">
      <c r="A51" s="12"/>
      <c r="B51" s="13"/>
      <c r="C51" s="14" t="s">
        <v>49</v>
      </c>
      <c r="D51" s="29">
        <v>52</v>
      </c>
      <c r="E51" s="17" t="s">
        <v>28</v>
      </c>
      <c r="F51" s="17" t="s">
        <v>29</v>
      </c>
      <c r="G51" s="258" t="s">
        <v>716</v>
      </c>
      <c r="H51" s="15">
        <v>1.3888888888888888E-2</v>
      </c>
      <c r="I51" s="16">
        <f t="shared" si="7"/>
        <v>42619.402222222161</v>
      </c>
      <c r="J51" s="16">
        <f t="shared" si="5"/>
        <v>42619.416111111052</v>
      </c>
      <c r="K51" s="16"/>
      <c r="L51" s="34" t="s">
        <v>722</v>
      </c>
      <c r="M51" s="129"/>
      <c r="N51" s="128"/>
    </row>
    <row r="52" spans="1:14" s="124" customFormat="1" ht="76.5" outlineLevel="2" x14ac:dyDescent="0.2">
      <c r="A52" s="12"/>
      <c r="B52" s="13"/>
      <c r="C52" s="14" t="s">
        <v>50</v>
      </c>
      <c r="D52" s="29">
        <v>53</v>
      </c>
      <c r="E52" s="17" t="s">
        <v>28</v>
      </c>
      <c r="F52" s="17" t="s">
        <v>29</v>
      </c>
      <c r="G52" s="258" t="s">
        <v>716</v>
      </c>
      <c r="H52" s="15">
        <v>2.4305555555555556E-2</v>
      </c>
      <c r="I52" s="16">
        <f t="shared" si="7"/>
        <v>42619.416111111052</v>
      </c>
      <c r="J52" s="16">
        <f t="shared" si="5"/>
        <v>42619.440416666606</v>
      </c>
      <c r="K52" s="16"/>
      <c r="L52" s="154" t="s">
        <v>788</v>
      </c>
      <c r="M52" s="129"/>
      <c r="N52" s="128"/>
    </row>
    <row r="53" spans="1:14" s="11" customFormat="1" ht="25.5" outlineLevel="2" x14ac:dyDescent="0.2">
      <c r="A53" s="12"/>
      <c r="B53" s="13"/>
      <c r="C53" s="14" t="s">
        <v>51</v>
      </c>
      <c r="D53" s="29">
        <v>54</v>
      </c>
      <c r="E53" s="17" t="s">
        <v>28</v>
      </c>
      <c r="F53" s="17" t="s">
        <v>29</v>
      </c>
      <c r="G53" s="258" t="s">
        <v>716</v>
      </c>
      <c r="H53" s="15">
        <v>3.472222222222222E-3</v>
      </c>
      <c r="I53" s="16">
        <f t="shared" si="6"/>
        <v>42619.440416666606</v>
      </c>
      <c r="J53" s="16">
        <f t="shared" si="5"/>
        <v>42619.443888888825</v>
      </c>
      <c r="K53" s="16"/>
      <c r="L53" s="14" t="s">
        <v>122</v>
      </c>
      <c r="M53" s="129"/>
      <c r="N53" s="128"/>
    </row>
    <row r="54" spans="1:14" s="11" customFormat="1" outlineLevel="2" x14ac:dyDescent="0.2">
      <c r="A54" s="12"/>
      <c r="B54" s="13"/>
      <c r="C54" s="14" t="s">
        <v>52</v>
      </c>
      <c r="D54" s="29">
        <v>60</v>
      </c>
      <c r="E54" s="17" t="s">
        <v>28</v>
      </c>
      <c r="F54" s="17" t="s">
        <v>29</v>
      </c>
      <c r="G54" s="258" t="s">
        <v>716</v>
      </c>
      <c r="H54" s="15">
        <v>3.472222222222222E-3</v>
      </c>
      <c r="I54" s="16">
        <f>J53</f>
        <v>42619.443888888825</v>
      </c>
      <c r="J54" s="16">
        <f t="shared" si="5"/>
        <v>42619.447361111044</v>
      </c>
      <c r="K54" s="16"/>
      <c r="L54" s="14"/>
      <c r="M54" s="129"/>
      <c r="N54" s="128"/>
    </row>
    <row r="55" spans="1:14" s="11" customFormat="1" outlineLevel="2" x14ac:dyDescent="0.2">
      <c r="A55" s="12"/>
      <c r="B55" s="13"/>
      <c r="C55" s="14" t="s">
        <v>53</v>
      </c>
      <c r="D55" s="29">
        <v>61</v>
      </c>
      <c r="E55" s="17" t="s">
        <v>28</v>
      </c>
      <c r="F55" s="17" t="s">
        <v>29</v>
      </c>
      <c r="G55" s="258" t="s">
        <v>716</v>
      </c>
      <c r="H55" s="15">
        <v>2.0833333333333333E-3</v>
      </c>
      <c r="I55" s="16">
        <f t="shared" ref="I55:I58" si="9">+J54</f>
        <v>42619.447361111044</v>
      </c>
      <c r="J55" s="16">
        <f t="shared" si="5"/>
        <v>42619.449444444377</v>
      </c>
      <c r="K55" s="16"/>
      <c r="L55" s="14"/>
      <c r="M55" s="129"/>
      <c r="N55" s="128"/>
    </row>
    <row r="56" spans="1:14" s="11" customFormat="1" ht="25.5" outlineLevel="2" x14ac:dyDescent="0.2">
      <c r="A56" s="12"/>
      <c r="B56" s="13"/>
      <c r="C56" s="14" t="s">
        <v>54</v>
      </c>
      <c r="D56" s="29">
        <v>62</v>
      </c>
      <c r="E56" s="17" t="s">
        <v>28</v>
      </c>
      <c r="F56" s="17" t="s">
        <v>29</v>
      </c>
      <c r="G56" s="258" t="s">
        <v>716</v>
      </c>
      <c r="H56" s="15">
        <v>4.1666666666666664E-2</v>
      </c>
      <c r="I56" s="16">
        <f>J55</f>
        <v>42619.449444444377</v>
      </c>
      <c r="J56" s="16">
        <f t="shared" si="5"/>
        <v>42619.491111111041</v>
      </c>
      <c r="K56" s="16"/>
      <c r="L56" s="184" t="s">
        <v>1047</v>
      </c>
      <c r="M56" s="129"/>
      <c r="N56" s="128"/>
    </row>
    <row r="57" spans="1:14" s="11" customFormat="1" outlineLevel="2" x14ac:dyDescent="0.2">
      <c r="A57" s="12"/>
      <c r="B57" s="13"/>
      <c r="C57" s="14" t="s">
        <v>55</v>
      </c>
      <c r="D57" s="29">
        <v>63</v>
      </c>
      <c r="E57" s="17" t="s">
        <v>28</v>
      </c>
      <c r="F57" s="17" t="s">
        <v>29</v>
      </c>
      <c r="G57" s="258" t="s">
        <v>716</v>
      </c>
      <c r="H57" s="15">
        <v>1.3888888888888889E-3</v>
      </c>
      <c r="I57" s="16">
        <f>J56</f>
        <v>42619.491111111041</v>
      </c>
      <c r="J57" s="16">
        <f t="shared" si="5"/>
        <v>42619.492499999928</v>
      </c>
      <c r="K57" s="16"/>
      <c r="L57" s="14"/>
      <c r="M57" s="129"/>
      <c r="N57" s="128"/>
    </row>
    <row r="58" spans="1:14" s="11" customFormat="1" outlineLevel="2" x14ac:dyDescent="0.2">
      <c r="A58" s="12"/>
      <c r="B58" s="13"/>
      <c r="C58" s="14" t="s">
        <v>56</v>
      </c>
      <c r="D58" s="29">
        <v>64</v>
      </c>
      <c r="E58" s="17" t="s">
        <v>28</v>
      </c>
      <c r="F58" s="17" t="s">
        <v>29</v>
      </c>
      <c r="G58" s="258" t="s">
        <v>716</v>
      </c>
      <c r="H58" s="15">
        <v>2.013888888888889E-2</v>
      </c>
      <c r="I58" s="16">
        <f t="shared" si="9"/>
        <v>42619.492499999928</v>
      </c>
      <c r="J58" s="16">
        <f t="shared" si="5"/>
        <v>42619.512638888817</v>
      </c>
      <c r="K58" s="16"/>
      <c r="L58" s="14"/>
      <c r="M58" s="129"/>
      <c r="N58" s="128"/>
    </row>
    <row r="59" spans="1:14" s="11" customFormat="1" ht="25.5" outlineLevel="2" x14ac:dyDescent="0.2">
      <c r="A59" s="12"/>
      <c r="B59" s="13"/>
      <c r="C59" s="197" t="s">
        <v>937</v>
      </c>
      <c r="D59" s="182"/>
      <c r="E59" s="193" t="s">
        <v>155</v>
      </c>
      <c r="F59" s="193" t="s">
        <v>938</v>
      </c>
      <c r="G59" s="258" t="s">
        <v>716</v>
      </c>
      <c r="H59" s="176">
        <v>0</v>
      </c>
      <c r="I59" s="177">
        <f>J58</f>
        <v>42619.512638888817</v>
      </c>
      <c r="J59" s="177">
        <f t="shared" si="5"/>
        <v>42619.512638888817</v>
      </c>
      <c r="K59" s="177"/>
      <c r="L59" s="197" t="s">
        <v>1048</v>
      </c>
      <c r="M59" s="172"/>
      <c r="N59" s="173"/>
    </row>
    <row r="60" spans="1:14" s="11" customFormat="1" ht="114.75" outlineLevel="2" x14ac:dyDescent="0.2">
      <c r="A60" s="12"/>
      <c r="B60" s="13"/>
      <c r="C60" s="14" t="s">
        <v>768</v>
      </c>
      <c r="D60" s="29">
        <v>65</v>
      </c>
      <c r="E60" s="17" t="s">
        <v>28</v>
      </c>
      <c r="F60" s="17" t="s">
        <v>769</v>
      </c>
      <c r="G60" s="258" t="s">
        <v>716</v>
      </c>
      <c r="H60" s="118">
        <v>0.375</v>
      </c>
      <c r="I60" s="114">
        <f>+J58</f>
        <v>42619.512638888817</v>
      </c>
      <c r="J60" s="114">
        <f t="shared" si="5"/>
        <v>42619.887638888817</v>
      </c>
      <c r="K60" s="16"/>
      <c r="L60" s="32" t="s">
        <v>771</v>
      </c>
      <c r="M60" s="129"/>
      <c r="N60" s="128"/>
    </row>
    <row r="61" spans="1:14" s="11" customFormat="1" ht="51" outlineLevel="2" x14ac:dyDescent="0.2">
      <c r="A61" s="12"/>
      <c r="B61" s="13"/>
      <c r="C61" s="197" t="s">
        <v>939</v>
      </c>
      <c r="D61" s="182"/>
      <c r="E61" s="193" t="s">
        <v>155</v>
      </c>
      <c r="F61" s="193" t="s">
        <v>938</v>
      </c>
      <c r="G61" s="258" t="s">
        <v>716</v>
      </c>
      <c r="H61" s="176">
        <v>3.472222222222222E-3</v>
      </c>
      <c r="I61" s="177">
        <f>J60</f>
        <v>42619.887638888817</v>
      </c>
      <c r="J61" s="177">
        <f t="shared" si="5"/>
        <v>42619.891111111036</v>
      </c>
      <c r="K61" s="177"/>
      <c r="L61" s="197" t="s">
        <v>1049</v>
      </c>
      <c r="M61" s="172"/>
      <c r="N61" s="173"/>
    </row>
    <row r="62" spans="1:14" s="11" customFormat="1" ht="51" outlineLevel="2" x14ac:dyDescent="0.2">
      <c r="A62" s="12"/>
      <c r="B62" s="129"/>
      <c r="C62" s="14" t="s">
        <v>57</v>
      </c>
      <c r="D62" s="29">
        <v>66</v>
      </c>
      <c r="E62" s="17" t="s">
        <v>28</v>
      </c>
      <c r="F62" s="17" t="s">
        <v>29</v>
      </c>
      <c r="G62" s="258" t="s">
        <v>716</v>
      </c>
      <c r="H62" s="268">
        <v>0.25555555555555559</v>
      </c>
      <c r="I62" s="114">
        <f>J60+0.5</f>
        <v>42620.387638888817</v>
      </c>
      <c r="J62" s="187">
        <f t="shared" si="5"/>
        <v>42620.643194444376</v>
      </c>
      <c r="K62" s="16"/>
      <c r="L62" s="115" t="s">
        <v>1046</v>
      </c>
      <c r="M62" s="129"/>
      <c r="N62" s="128"/>
    </row>
    <row r="63" spans="1:14" ht="25.5" x14ac:dyDescent="0.2">
      <c r="A63" s="12"/>
      <c r="B63" s="129"/>
      <c r="C63" s="261" t="s">
        <v>58</v>
      </c>
      <c r="D63" s="262">
        <v>67</v>
      </c>
      <c r="E63" s="263" t="s">
        <v>28</v>
      </c>
      <c r="F63" s="263" t="s">
        <v>29</v>
      </c>
      <c r="G63" s="264" t="s">
        <v>713</v>
      </c>
      <c r="H63" s="265">
        <v>2.0833333333333333E-3</v>
      </c>
      <c r="I63" s="266">
        <v>42621.75</v>
      </c>
      <c r="J63" s="266">
        <f t="shared" si="5"/>
        <v>42621.752083333333</v>
      </c>
      <c r="K63" s="266"/>
      <c r="L63" s="267" t="s">
        <v>1050</v>
      </c>
      <c r="M63" s="129"/>
      <c r="N63" s="128"/>
    </row>
    <row r="64" spans="1:14" s="11" customFormat="1" outlineLevel="1" x14ac:dyDescent="0.2">
      <c r="A64" s="6" t="s">
        <v>800</v>
      </c>
      <c r="B64" s="7"/>
      <c r="C64" s="8"/>
      <c r="D64" s="9"/>
      <c r="E64" s="9"/>
      <c r="F64" s="9"/>
      <c r="G64" s="9"/>
      <c r="H64" s="9"/>
      <c r="I64" s="10"/>
      <c r="J64" s="10"/>
      <c r="K64" s="10"/>
      <c r="L64" s="8"/>
      <c r="M64" s="129"/>
      <c r="N64" s="128"/>
    </row>
    <row r="65" spans="1:14" s="124" customFormat="1" outlineLevel="2" x14ac:dyDescent="0.2">
      <c r="A65" s="12"/>
      <c r="B65" s="13" t="s">
        <v>797</v>
      </c>
      <c r="C65" s="131"/>
      <c r="D65" s="134"/>
      <c r="E65" s="133"/>
      <c r="F65" s="133"/>
      <c r="G65" s="130"/>
      <c r="H65" s="130"/>
      <c r="I65" s="153" t="e">
        <f>#REF!</f>
        <v>#REF!</v>
      </c>
      <c r="J65" s="153" t="e">
        <f t="shared" ref="J65" si="10">I65+H65</f>
        <v>#REF!</v>
      </c>
      <c r="K65" s="132"/>
      <c r="L65" s="131"/>
      <c r="M65" s="129"/>
      <c r="N65" s="128"/>
    </row>
    <row r="66" spans="1:14" x14ac:dyDescent="0.2">
      <c r="C66" s="54" t="s">
        <v>872</v>
      </c>
    </row>
  </sheetData>
  <conditionalFormatting sqref="G10:G11 G4:G5 G14:G31 G33:G63">
    <cfRule type="cellIs" dxfId="870" priority="265" operator="equal">
      <formula>"N/A"</formula>
    </cfRule>
    <cfRule type="cellIs" dxfId="869" priority="266" stopIfTrue="1" operator="equal">
      <formula>"Failed"</formula>
    </cfRule>
    <cfRule type="cellIs" dxfId="868" priority="267" stopIfTrue="1" operator="equal">
      <formula>"In progress"</formula>
    </cfRule>
    <cfRule type="cellIs" dxfId="867" priority="268" stopIfTrue="1" operator="equal">
      <formula>"Passed"</formula>
    </cfRule>
  </conditionalFormatting>
  <conditionalFormatting sqref="G12">
    <cfRule type="cellIs" dxfId="866" priority="29" operator="equal">
      <formula>"N/A"</formula>
    </cfRule>
    <cfRule type="cellIs" dxfId="865" priority="30" stopIfTrue="1" operator="equal">
      <formula>"Failed"</formula>
    </cfRule>
    <cfRule type="cellIs" dxfId="864" priority="31" stopIfTrue="1" operator="equal">
      <formula>"In progress"</formula>
    </cfRule>
    <cfRule type="cellIs" dxfId="863" priority="32" stopIfTrue="1" operator="equal">
      <formula>"Passed"</formula>
    </cfRule>
  </conditionalFormatting>
  <conditionalFormatting sqref="G59">
    <cfRule type="cellIs" dxfId="862" priority="25" operator="equal">
      <formula>"N/A"</formula>
    </cfRule>
    <cfRule type="cellIs" dxfId="861" priority="26" stopIfTrue="1" operator="equal">
      <formula>"Failed"</formula>
    </cfRule>
    <cfRule type="cellIs" dxfId="860" priority="27" stopIfTrue="1" operator="equal">
      <formula>"In progress"</formula>
    </cfRule>
    <cfRule type="cellIs" dxfId="859" priority="28" stopIfTrue="1" operator="equal">
      <formula>"Passed"</formula>
    </cfRule>
  </conditionalFormatting>
  <conditionalFormatting sqref="G61">
    <cfRule type="cellIs" dxfId="858" priority="21" operator="equal">
      <formula>"N/A"</formula>
    </cfRule>
    <cfRule type="cellIs" dxfId="857" priority="22" stopIfTrue="1" operator="equal">
      <formula>"Failed"</formula>
    </cfRule>
    <cfRule type="cellIs" dxfId="856" priority="23" stopIfTrue="1" operator="equal">
      <formula>"In progress"</formula>
    </cfRule>
    <cfRule type="cellIs" dxfId="855" priority="24" stopIfTrue="1" operator="equal">
      <formula>"Passed"</formula>
    </cfRule>
  </conditionalFormatting>
  <conditionalFormatting sqref="G61">
    <cfRule type="cellIs" dxfId="854" priority="17" operator="equal">
      <formula>"N/A"</formula>
    </cfRule>
    <cfRule type="cellIs" dxfId="853" priority="18" stopIfTrue="1" operator="equal">
      <formula>"Failed"</formula>
    </cfRule>
    <cfRule type="cellIs" dxfId="852" priority="19" stopIfTrue="1" operator="equal">
      <formula>"In progress"</formula>
    </cfRule>
    <cfRule type="cellIs" dxfId="851" priority="20" stopIfTrue="1" operator="equal">
      <formula>"Passed"</formula>
    </cfRule>
  </conditionalFormatting>
  <conditionalFormatting sqref="G60">
    <cfRule type="cellIs" dxfId="850" priority="13" operator="equal">
      <formula>"N/A"</formula>
    </cfRule>
    <cfRule type="cellIs" dxfId="849" priority="14" stopIfTrue="1" operator="equal">
      <formula>"Failed"</formula>
    </cfRule>
    <cfRule type="cellIs" dxfId="848" priority="15" stopIfTrue="1" operator="equal">
      <formula>"In progress"</formula>
    </cfRule>
    <cfRule type="cellIs" dxfId="847" priority="16" stopIfTrue="1" operator="equal">
      <formula>"Passed"</formula>
    </cfRule>
  </conditionalFormatting>
  <conditionalFormatting sqref="G60">
    <cfRule type="cellIs" dxfId="846" priority="9" operator="equal">
      <formula>"N/A"</formula>
    </cfRule>
    <cfRule type="cellIs" dxfId="845" priority="10" stopIfTrue="1" operator="equal">
      <formula>"Failed"</formula>
    </cfRule>
    <cfRule type="cellIs" dxfId="844" priority="11" stopIfTrue="1" operator="equal">
      <formula>"In progress"</formula>
    </cfRule>
    <cfRule type="cellIs" dxfId="843" priority="12" stopIfTrue="1" operator="equal">
      <formula>"Passed"</formula>
    </cfRule>
  </conditionalFormatting>
  <conditionalFormatting sqref="G62">
    <cfRule type="cellIs" dxfId="842" priority="5" operator="equal">
      <formula>"N/A"</formula>
    </cfRule>
    <cfRule type="cellIs" dxfId="841" priority="6" stopIfTrue="1" operator="equal">
      <formula>"Failed"</formula>
    </cfRule>
    <cfRule type="cellIs" dxfId="840" priority="7" stopIfTrue="1" operator="equal">
      <formula>"In progress"</formula>
    </cfRule>
    <cfRule type="cellIs" dxfId="839" priority="8" stopIfTrue="1" operator="equal">
      <formula>"Passed"</formula>
    </cfRule>
  </conditionalFormatting>
  <conditionalFormatting sqref="G62">
    <cfRule type="cellIs" dxfId="838" priority="1" operator="equal">
      <formula>"N/A"</formula>
    </cfRule>
    <cfRule type="cellIs" dxfId="837" priority="2" stopIfTrue="1" operator="equal">
      <formula>"Failed"</formula>
    </cfRule>
    <cfRule type="cellIs" dxfId="836" priority="3" stopIfTrue="1" operator="equal">
      <formula>"In progress"</formula>
    </cfRule>
    <cfRule type="cellIs" dxfId="835" priority="4" stopIfTrue="1" operator="equal">
      <formula>"Passed"</formula>
    </cfRule>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7"/>
  <sheetViews>
    <sheetView topLeftCell="B1" zoomScale="80" zoomScaleNormal="80" workbookViewId="0">
      <selection activeCell="F52" sqref="F52"/>
    </sheetView>
  </sheetViews>
  <sheetFormatPr baseColWidth="10" defaultRowHeight="12.75" outlineLevelRow="2" x14ac:dyDescent="0.2"/>
  <cols>
    <col min="1" max="1" width="2.7109375" style="18" customWidth="1"/>
    <col min="2" max="2" width="2.42578125" style="18" customWidth="1"/>
    <col min="3" max="3" width="74.28515625" style="18" customWidth="1"/>
    <col min="4" max="4" width="10.7109375" style="18" customWidth="1"/>
    <col min="5" max="5" width="9.42578125" style="18" customWidth="1"/>
    <col min="6" max="6" width="18.85546875" style="5" customWidth="1"/>
    <col min="7" max="7" width="14.5703125" style="18" customWidth="1"/>
    <col min="8" max="8" width="11.42578125" style="18" customWidth="1"/>
    <col min="9" max="9" width="16.28515625" style="18" customWidth="1"/>
    <col min="10" max="10" width="15.140625" style="18" customWidth="1"/>
    <col min="11" max="11" width="15.42578125" style="18" customWidth="1"/>
    <col min="12" max="12" width="62.7109375" style="18" customWidth="1"/>
    <col min="13" max="13" width="2" style="18" customWidth="1"/>
    <col min="14" max="14" width="2.28515625" style="18" customWidth="1"/>
    <col min="15" max="16384" width="11.42578125" style="18"/>
  </cols>
  <sheetData>
    <row r="1" spans="1:14" s="3" customFormat="1" x14ac:dyDescent="0.2">
      <c r="A1" s="2"/>
      <c r="B1" s="2"/>
      <c r="C1" s="126" t="s">
        <v>1</v>
      </c>
      <c r="D1" s="126" t="s">
        <v>0</v>
      </c>
      <c r="E1" s="125" t="s">
        <v>2</v>
      </c>
      <c r="F1" s="125" t="s">
        <v>3</v>
      </c>
      <c r="G1" s="125" t="s">
        <v>4</v>
      </c>
      <c r="H1" s="125" t="s">
        <v>5</v>
      </c>
      <c r="I1" s="127" t="s">
        <v>6</v>
      </c>
      <c r="J1" s="127" t="s">
        <v>7</v>
      </c>
      <c r="K1" s="127" t="s">
        <v>8</v>
      </c>
      <c r="L1" s="125" t="s">
        <v>9</v>
      </c>
      <c r="M1" s="125"/>
      <c r="N1" s="125"/>
    </row>
    <row r="2" spans="1:14" s="11" customFormat="1" outlineLevel="1" x14ac:dyDescent="0.2">
      <c r="A2" s="6" t="s">
        <v>798</v>
      </c>
      <c r="B2" s="7"/>
      <c r="C2" s="8"/>
      <c r="D2" s="9"/>
      <c r="E2" s="9"/>
      <c r="F2" s="9"/>
      <c r="G2" s="9"/>
      <c r="H2" s="9"/>
      <c r="I2" s="10"/>
      <c r="J2" s="10"/>
      <c r="K2" s="10"/>
      <c r="L2" s="8"/>
      <c r="M2" s="129"/>
      <c r="N2" s="128"/>
    </row>
    <row r="3" spans="1:14" s="124" customFormat="1" outlineLevel="2" x14ac:dyDescent="0.2">
      <c r="A3" s="12"/>
      <c r="B3" s="13" t="s">
        <v>833</v>
      </c>
      <c r="C3" s="131"/>
      <c r="D3" s="134"/>
      <c r="E3" s="133"/>
      <c r="F3" s="133"/>
      <c r="G3" s="130"/>
      <c r="H3" s="130"/>
      <c r="I3" s="153" t="e">
        <f>#REF!</f>
        <v>#REF!</v>
      </c>
      <c r="J3" s="153" t="e">
        <f t="shared" ref="J3:J55" si="0">I3+H3</f>
        <v>#REF!</v>
      </c>
      <c r="K3" s="132"/>
      <c r="L3" s="131"/>
      <c r="M3" s="129"/>
      <c r="N3" s="128"/>
    </row>
    <row r="4" spans="1:14" s="11" customFormat="1" outlineLevel="2" x14ac:dyDescent="0.2">
      <c r="A4" s="12"/>
      <c r="B4" s="172"/>
      <c r="C4" s="80" t="s">
        <v>922</v>
      </c>
      <c r="D4" s="204"/>
      <c r="E4" s="205" t="s">
        <v>178</v>
      </c>
      <c r="F4" s="205"/>
      <c r="G4" s="108" t="s">
        <v>716</v>
      </c>
      <c r="H4" s="59"/>
      <c r="I4" s="68">
        <v>42613.375</v>
      </c>
      <c r="J4" s="68">
        <v>42621.5</v>
      </c>
      <c r="K4" s="183"/>
      <c r="L4" s="206"/>
      <c r="M4" s="172"/>
      <c r="N4" s="173"/>
    </row>
    <row r="5" spans="1:14" s="11" customFormat="1" ht="38.25" outlineLevel="2" x14ac:dyDescent="0.2">
      <c r="A5" s="12"/>
      <c r="B5" s="129"/>
      <c r="C5" s="14" t="s">
        <v>835</v>
      </c>
      <c r="D5" s="29"/>
      <c r="E5" s="155" t="s">
        <v>839</v>
      </c>
      <c r="F5" s="14" t="s">
        <v>837</v>
      </c>
      <c r="G5" s="274" t="s">
        <v>716</v>
      </c>
      <c r="H5" s="15">
        <v>6.9444444444444441E-3</v>
      </c>
      <c r="I5" s="68">
        <v>42621.375</v>
      </c>
      <c r="J5" s="68">
        <v>42621.5</v>
      </c>
      <c r="K5" s="16"/>
      <c r="L5" s="14"/>
      <c r="M5" s="129"/>
      <c r="N5" s="128"/>
    </row>
    <row r="6" spans="1:14" s="11" customFormat="1" outlineLevel="2" x14ac:dyDescent="0.2">
      <c r="A6" s="12"/>
      <c r="B6" s="129"/>
      <c r="C6" s="14" t="s">
        <v>836</v>
      </c>
      <c r="D6" s="29"/>
      <c r="E6" s="155" t="s">
        <v>840</v>
      </c>
      <c r="F6" s="14" t="s">
        <v>838</v>
      </c>
      <c r="G6" s="274" t="s">
        <v>716</v>
      </c>
      <c r="H6" s="15">
        <v>6.9444444444444441E-3</v>
      </c>
      <c r="I6" s="68">
        <v>42621.375</v>
      </c>
      <c r="J6" s="68">
        <v>42621.5</v>
      </c>
      <c r="K6" s="16"/>
      <c r="L6" s="14"/>
      <c r="M6" s="129"/>
      <c r="N6" s="128"/>
    </row>
    <row r="7" spans="1:14" s="11" customFormat="1" outlineLevel="2" x14ac:dyDescent="0.2">
      <c r="A7" s="12"/>
      <c r="B7" s="172"/>
      <c r="C7" s="80" t="s">
        <v>962</v>
      </c>
      <c r="D7" s="204"/>
      <c r="E7" s="209" t="s">
        <v>178</v>
      </c>
      <c r="F7" s="80"/>
      <c r="G7" s="274" t="s">
        <v>716</v>
      </c>
      <c r="H7" s="176">
        <v>6.9444444444444441E-3</v>
      </c>
      <c r="I7" s="68">
        <v>42621.375</v>
      </c>
      <c r="J7" s="68">
        <v>42621.5</v>
      </c>
      <c r="K7" s="183"/>
      <c r="L7" s="80"/>
      <c r="M7" s="172"/>
      <c r="N7" s="173"/>
    </row>
    <row r="8" spans="1:14" s="124" customFormat="1" outlineLevel="2" x14ac:dyDescent="0.2">
      <c r="A8" s="12"/>
      <c r="B8" s="13" t="s">
        <v>834</v>
      </c>
      <c r="C8" s="131"/>
      <c r="D8" s="134"/>
      <c r="E8" s="133"/>
      <c r="F8" s="133"/>
      <c r="G8" s="130"/>
      <c r="H8" s="130"/>
      <c r="I8" s="153" t="e">
        <f>#REF!</f>
        <v>#REF!</v>
      </c>
      <c r="J8" s="153" t="e">
        <f t="shared" ref="J8" si="1">I8+H8</f>
        <v>#REF!</v>
      </c>
      <c r="K8" s="132"/>
      <c r="L8" s="131"/>
      <c r="M8" s="129"/>
      <c r="N8" s="128"/>
    </row>
    <row r="9" spans="1:14" s="11" customFormat="1" ht="25.5" outlineLevel="2" x14ac:dyDescent="0.2">
      <c r="A9" s="12"/>
      <c r="B9" s="129"/>
      <c r="C9" s="14" t="s">
        <v>804</v>
      </c>
      <c r="D9" s="29"/>
      <c r="E9" s="17"/>
      <c r="F9" s="17"/>
      <c r="G9" s="28" t="s">
        <v>713</v>
      </c>
      <c r="H9" s="15">
        <v>6.9444444444444441E-3</v>
      </c>
      <c r="I9" s="68">
        <v>42621.708333333336</v>
      </c>
      <c r="J9" s="68">
        <f>I9+H9</f>
        <v>42621.715277777781</v>
      </c>
      <c r="K9" s="16"/>
      <c r="L9" s="14"/>
      <c r="M9" s="129"/>
      <c r="N9" s="128"/>
    </row>
    <row r="10" spans="1:14" s="124" customFormat="1" outlineLevel="2" x14ac:dyDescent="0.2">
      <c r="A10" s="12"/>
      <c r="B10" s="13"/>
      <c r="C10" s="131"/>
      <c r="D10" s="134"/>
      <c r="E10" s="133"/>
      <c r="F10" s="133"/>
      <c r="G10" s="130"/>
      <c r="H10" s="130"/>
      <c r="I10" s="153"/>
      <c r="J10" s="153"/>
      <c r="K10" s="132"/>
      <c r="L10" s="131"/>
      <c r="M10" s="129"/>
      <c r="N10" s="128"/>
    </row>
    <row r="11" spans="1:14" s="124" customFormat="1" outlineLevel="2" x14ac:dyDescent="0.2">
      <c r="A11" s="12"/>
      <c r="B11" s="13" t="s">
        <v>797</v>
      </c>
      <c r="C11" s="131"/>
      <c r="D11" s="134"/>
      <c r="E11" s="133"/>
      <c r="F11" s="133"/>
      <c r="G11" s="130"/>
      <c r="H11" s="130"/>
      <c r="I11" s="153" t="e">
        <f>#REF!</f>
        <v>#REF!</v>
      </c>
      <c r="J11" s="153" t="e">
        <f t="shared" ref="J11" si="2">I11+H11</f>
        <v>#REF!</v>
      </c>
      <c r="K11" s="132"/>
      <c r="L11" s="131"/>
      <c r="M11" s="129"/>
      <c r="N11" s="128"/>
    </row>
    <row r="12" spans="1:14" s="124" customFormat="1" outlineLevel="2" x14ac:dyDescent="0.2">
      <c r="A12" s="12"/>
      <c r="B12" s="13"/>
      <c r="C12" s="64" t="s">
        <v>807</v>
      </c>
      <c r="D12" s="29"/>
      <c r="E12" s="65" t="s">
        <v>169</v>
      </c>
      <c r="F12" s="17" t="s">
        <v>167</v>
      </c>
      <c r="G12" s="274" t="s">
        <v>716</v>
      </c>
      <c r="H12" s="15">
        <v>4.1666666666666664E-2</v>
      </c>
      <c r="I12" s="68">
        <v>42621.583333333336</v>
      </c>
      <c r="J12" s="68">
        <f t="shared" ref="J12" si="3">I12+H12</f>
        <v>42621.625</v>
      </c>
      <c r="K12" s="16"/>
      <c r="L12" s="91" t="s">
        <v>808</v>
      </c>
      <c r="M12" s="129"/>
      <c r="N12" s="128"/>
    </row>
    <row r="13" spans="1:14" s="124" customFormat="1" ht="25.5" outlineLevel="2" x14ac:dyDescent="0.2">
      <c r="A13" s="12"/>
      <c r="B13" s="13"/>
      <c r="C13" s="64" t="s">
        <v>805</v>
      </c>
      <c r="D13" s="29"/>
      <c r="E13" s="17" t="s">
        <v>178</v>
      </c>
      <c r="F13" s="193" t="s">
        <v>924</v>
      </c>
      <c r="G13" s="274" t="s">
        <v>716</v>
      </c>
      <c r="H13" s="176">
        <v>8.3333333333333329E-2</v>
      </c>
      <c r="I13" s="68">
        <v>42621.583333333336</v>
      </c>
      <c r="J13" s="68">
        <f t="shared" ref="J13" si="4">I13+H13</f>
        <v>42621.666666666672</v>
      </c>
      <c r="K13" s="16"/>
      <c r="L13" s="91" t="s">
        <v>808</v>
      </c>
      <c r="M13" s="129"/>
      <c r="N13" s="128"/>
    </row>
    <row r="14" spans="1:14" s="124" customFormat="1" outlineLevel="2" x14ac:dyDescent="0.2">
      <c r="A14" s="12"/>
      <c r="B14" s="13"/>
      <c r="C14" s="64" t="s">
        <v>806</v>
      </c>
      <c r="D14" s="29"/>
      <c r="E14" s="17" t="s">
        <v>178</v>
      </c>
      <c r="F14" s="193" t="s">
        <v>182</v>
      </c>
      <c r="G14" s="274" t="s">
        <v>716</v>
      </c>
      <c r="H14" s="176">
        <v>8.3333333333333329E-2</v>
      </c>
      <c r="I14" s="68">
        <v>42621.583333333336</v>
      </c>
      <c r="J14" s="68">
        <f t="shared" ref="J14:J21" si="5">I14+H14</f>
        <v>42621.666666666672</v>
      </c>
      <c r="K14" s="16"/>
      <c r="L14" s="91" t="s">
        <v>808</v>
      </c>
      <c r="M14" s="129"/>
      <c r="N14" s="128"/>
    </row>
    <row r="15" spans="1:14" s="11" customFormat="1" ht="238.5" customHeight="1" outlineLevel="2" x14ac:dyDescent="0.2">
      <c r="A15" s="12"/>
      <c r="B15" s="129"/>
      <c r="C15" s="78" t="s">
        <v>977</v>
      </c>
      <c r="D15" s="120">
        <v>71</v>
      </c>
      <c r="E15" s="65" t="s">
        <v>169</v>
      </c>
      <c r="F15" s="65" t="s">
        <v>171</v>
      </c>
      <c r="G15" s="274" t="s">
        <v>716</v>
      </c>
      <c r="H15" s="67">
        <v>2.0833333333333332E-2</v>
      </c>
      <c r="I15" s="68">
        <v>42621.708333333336</v>
      </c>
      <c r="J15" s="68">
        <f t="shared" si="5"/>
        <v>42621.729166666672</v>
      </c>
      <c r="K15" s="68"/>
      <c r="L15" s="66" t="s">
        <v>790</v>
      </c>
      <c r="M15" s="129"/>
      <c r="N15" s="128"/>
    </row>
    <row r="16" spans="1:14" s="11" customFormat="1" outlineLevel="2" x14ac:dyDescent="0.2">
      <c r="A16" s="12"/>
      <c r="B16" s="129"/>
      <c r="C16" s="78" t="s">
        <v>714</v>
      </c>
      <c r="D16" s="29">
        <v>72</v>
      </c>
      <c r="E16" s="65" t="s">
        <v>169</v>
      </c>
      <c r="F16" s="65" t="s">
        <v>171</v>
      </c>
      <c r="G16" s="274" t="s">
        <v>716</v>
      </c>
      <c r="H16" s="67">
        <v>2.0833333333333332E-2</v>
      </c>
      <c r="I16" s="68">
        <v>42621.708333333336</v>
      </c>
      <c r="J16" s="68">
        <f t="shared" si="5"/>
        <v>42621.729166666672</v>
      </c>
      <c r="K16" s="68"/>
      <c r="L16" s="66"/>
      <c r="M16" s="129"/>
      <c r="N16" s="128"/>
    </row>
    <row r="17" spans="1:14" s="11" customFormat="1" ht="38.25" outlineLevel="2" x14ac:dyDescent="0.2">
      <c r="A17" s="12"/>
      <c r="B17" s="172"/>
      <c r="C17" s="197" t="s">
        <v>841</v>
      </c>
      <c r="D17" s="120">
        <v>69</v>
      </c>
      <c r="E17" s="185" t="s">
        <v>169</v>
      </c>
      <c r="F17" s="185" t="s">
        <v>171</v>
      </c>
      <c r="G17" s="274" t="s">
        <v>716</v>
      </c>
      <c r="H17" s="186">
        <v>6.9444444444444441E-3</v>
      </c>
      <c r="I17" s="68">
        <f>J16</f>
        <v>42621.729166666672</v>
      </c>
      <c r="J17" s="68">
        <f t="shared" si="5"/>
        <v>42621.736111111117</v>
      </c>
      <c r="K17" s="198"/>
      <c r="L17" s="192" t="s">
        <v>842</v>
      </c>
      <c r="M17" s="172"/>
      <c r="N17" s="173"/>
    </row>
    <row r="18" spans="1:14" s="11" customFormat="1" outlineLevel="2" x14ac:dyDescent="0.2">
      <c r="A18" s="12"/>
      <c r="B18" s="172"/>
      <c r="C18" s="197" t="s">
        <v>927</v>
      </c>
      <c r="D18" s="182">
        <v>68</v>
      </c>
      <c r="E18" s="193" t="s">
        <v>169</v>
      </c>
      <c r="F18" s="193" t="s">
        <v>171</v>
      </c>
      <c r="G18" s="274" t="s">
        <v>716</v>
      </c>
      <c r="H18" s="176">
        <v>6.9444444444444441E-3</v>
      </c>
      <c r="I18" s="68">
        <f>J17</f>
        <v>42621.736111111117</v>
      </c>
      <c r="J18" s="68">
        <f t="shared" si="5"/>
        <v>42621.743055555562</v>
      </c>
      <c r="K18" s="177"/>
      <c r="L18" s="197"/>
      <c r="M18" s="172"/>
      <c r="N18" s="173"/>
    </row>
    <row r="19" spans="1:14" s="11" customFormat="1" ht="25.5" outlineLevel="2" x14ac:dyDescent="0.2">
      <c r="A19" s="12"/>
      <c r="B19" s="129"/>
      <c r="C19" s="14" t="s">
        <v>184</v>
      </c>
      <c r="D19" s="29">
        <v>76</v>
      </c>
      <c r="E19" s="65" t="s">
        <v>169</v>
      </c>
      <c r="F19" s="65" t="s">
        <v>171</v>
      </c>
      <c r="G19" s="274" t="s">
        <v>716</v>
      </c>
      <c r="H19" s="67">
        <v>6.9444444444444441E-3</v>
      </c>
      <c r="I19" s="68">
        <f>J18</f>
        <v>42621.743055555562</v>
      </c>
      <c r="J19" s="68">
        <f t="shared" si="5"/>
        <v>42621.750000000007</v>
      </c>
      <c r="K19" s="68"/>
      <c r="L19" s="66" t="s">
        <v>789</v>
      </c>
      <c r="M19" s="129"/>
      <c r="N19" s="128"/>
    </row>
    <row r="20" spans="1:14" s="11" customFormat="1" outlineLevel="2" x14ac:dyDescent="0.2">
      <c r="A20" s="12"/>
      <c r="B20" s="172"/>
      <c r="C20" s="197" t="s">
        <v>183</v>
      </c>
      <c r="D20" s="182">
        <v>70</v>
      </c>
      <c r="E20" s="185" t="s">
        <v>169</v>
      </c>
      <c r="F20" s="185" t="s">
        <v>171</v>
      </c>
      <c r="G20" s="274" t="s">
        <v>716</v>
      </c>
      <c r="H20" s="186">
        <v>3.472222222222222E-3</v>
      </c>
      <c r="I20" s="68">
        <f>J19</f>
        <v>42621.750000000007</v>
      </c>
      <c r="J20" s="68">
        <f t="shared" si="5"/>
        <v>42621.753472222226</v>
      </c>
      <c r="K20" s="68"/>
      <c r="L20" s="66"/>
      <c r="M20" s="172"/>
      <c r="N20" s="173"/>
    </row>
    <row r="21" spans="1:14" s="11" customFormat="1" outlineLevel="2" x14ac:dyDescent="0.2">
      <c r="A21" s="12"/>
      <c r="B21" s="129"/>
      <c r="C21" s="197" t="s">
        <v>928</v>
      </c>
      <c r="D21" s="29">
        <v>68</v>
      </c>
      <c r="E21" s="17" t="s">
        <v>813</v>
      </c>
      <c r="F21" s="17" t="s">
        <v>814</v>
      </c>
      <c r="G21" s="274" t="s">
        <v>716</v>
      </c>
      <c r="H21" s="15">
        <v>6.9444444444444441E-3</v>
      </c>
      <c r="I21" s="68">
        <f>I15</f>
        <v>42621.708333333336</v>
      </c>
      <c r="J21" s="68">
        <f t="shared" si="5"/>
        <v>42621.715277777781</v>
      </c>
      <c r="K21" s="16"/>
      <c r="L21" s="14"/>
      <c r="M21" s="129"/>
      <c r="N21" s="128"/>
    </row>
    <row r="22" spans="1:14" s="11" customFormat="1" outlineLevel="2" x14ac:dyDescent="0.2">
      <c r="A22" s="12"/>
      <c r="B22" s="172"/>
      <c r="C22" s="197" t="s">
        <v>926</v>
      </c>
      <c r="D22" s="182"/>
      <c r="E22" s="185" t="s">
        <v>1055</v>
      </c>
      <c r="F22" s="185"/>
      <c r="G22" s="274" t="s">
        <v>716</v>
      </c>
      <c r="H22" s="186">
        <v>1.0416666666666666E-2</v>
      </c>
      <c r="I22" s="68">
        <f>J16</f>
        <v>42621.729166666672</v>
      </c>
      <c r="J22" s="68">
        <f t="shared" ref="J22:J23" si="6">I22+H22</f>
        <v>42621.739583333336</v>
      </c>
      <c r="K22" s="68"/>
      <c r="L22" s="66"/>
      <c r="M22" s="172"/>
      <c r="N22" s="173"/>
    </row>
    <row r="23" spans="1:14" s="11" customFormat="1" outlineLevel="2" x14ac:dyDescent="0.2">
      <c r="A23" s="12"/>
      <c r="B23" s="129"/>
      <c r="C23" s="14" t="s">
        <v>877</v>
      </c>
      <c r="D23" s="29"/>
      <c r="E23" s="65" t="s">
        <v>169</v>
      </c>
      <c r="F23" s="65" t="s">
        <v>171</v>
      </c>
      <c r="G23" s="274" t="s">
        <v>716</v>
      </c>
      <c r="H23" s="67">
        <v>1.0416666666666666E-2</v>
      </c>
      <c r="I23" s="68">
        <f>J22</f>
        <v>42621.739583333336</v>
      </c>
      <c r="J23" s="68">
        <f t="shared" si="6"/>
        <v>42621.75</v>
      </c>
      <c r="K23" s="68"/>
      <c r="L23" s="66" t="s">
        <v>884</v>
      </c>
      <c r="M23" s="129"/>
      <c r="N23" s="128"/>
    </row>
    <row r="24" spans="1:14" s="11" customFormat="1" outlineLevel="2" x14ac:dyDescent="0.2">
      <c r="A24" s="12"/>
      <c r="B24" s="129"/>
      <c r="C24" s="197" t="s">
        <v>925</v>
      </c>
      <c r="D24" s="29"/>
      <c r="E24" s="65" t="s">
        <v>1055</v>
      </c>
      <c r="F24" s="65"/>
      <c r="G24" s="274" t="s">
        <v>716</v>
      </c>
      <c r="H24" s="200">
        <v>3.472222222222222E-3</v>
      </c>
      <c r="I24" s="68">
        <f>J23</f>
        <v>42621.75</v>
      </c>
      <c r="J24" s="68">
        <f>I24+H24</f>
        <v>42621.753472222219</v>
      </c>
      <c r="K24" s="68"/>
      <c r="L24" s="66" t="s">
        <v>883</v>
      </c>
      <c r="M24" s="129"/>
      <c r="N24" s="128"/>
    </row>
    <row r="25" spans="1:14" s="11" customFormat="1" ht="38.25" outlineLevel="2" x14ac:dyDescent="0.2">
      <c r="A25" s="12"/>
      <c r="B25" s="129"/>
      <c r="C25" s="197" t="s">
        <v>929</v>
      </c>
      <c r="D25" s="120">
        <v>73</v>
      </c>
      <c r="E25" s="65" t="s">
        <v>155</v>
      </c>
      <c r="F25" s="65" t="s">
        <v>171</v>
      </c>
      <c r="G25" s="274" t="s">
        <v>716</v>
      </c>
      <c r="H25" s="67">
        <v>3.472222222222222E-3</v>
      </c>
      <c r="I25" s="68">
        <f>J24</f>
        <v>42621.753472222219</v>
      </c>
      <c r="J25" s="68">
        <f t="shared" ref="J25:J33" si="7">I25+H25</f>
        <v>42621.756944444438</v>
      </c>
      <c r="K25" s="68"/>
      <c r="L25" s="66" t="s">
        <v>1043</v>
      </c>
      <c r="M25" s="129"/>
      <c r="N25" s="128"/>
    </row>
    <row r="26" spans="1:14" s="11" customFormat="1" outlineLevel="2" x14ac:dyDescent="0.2">
      <c r="A26" s="12"/>
      <c r="B26" s="129"/>
      <c r="C26" s="113" t="s">
        <v>871</v>
      </c>
      <c r="D26" s="120"/>
      <c r="E26" s="65"/>
      <c r="F26" s="65"/>
      <c r="G26" s="28"/>
      <c r="H26" s="67"/>
      <c r="I26" s="68"/>
      <c r="J26" s="68"/>
      <c r="K26" s="68"/>
      <c r="L26" s="66"/>
      <c r="M26" s="129"/>
      <c r="N26" s="128"/>
    </row>
    <row r="27" spans="1:14" ht="38.25" outlineLevel="2" x14ac:dyDescent="0.2">
      <c r="A27" s="12"/>
      <c r="B27" s="13"/>
      <c r="C27" s="156" t="s">
        <v>843</v>
      </c>
      <c r="D27" s="157"/>
      <c r="E27" s="158" t="s">
        <v>844</v>
      </c>
      <c r="F27" s="197" t="s">
        <v>923</v>
      </c>
      <c r="G27" s="274" t="s">
        <v>716</v>
      </c>
      <c r="H27" s="186">
        <v>1.0416666666666666E-2</v>
      </c>
      <c r="I27" s="68">
        <v>42621.697916666664</v>
      </c>
      <c r="J27" s="68">
        <f t="shared" si="7"/>
        <v>42621.708333333328</v>
      </c>
      <c r="K27" s="156"/>
      <c r="L27" s="156"/>
      <c r="M27" s="129"/>
      <c r="N27" s="128"/>
    </row>
    <row r="28" spans="1:14" ht="38.25" outlineLevel="2" x14ac:dyDescent="0.2">
      <c r="A28" s="12"/>
      <c r="B28" s="13"/>
      <c r="C28" s="156" t="s">
        <v>843</v>
      </c>
      <c r="D28" s="157"/>
      <c r="E28" s="158" t="s">
        <v>845</v>
      </c>
      <c r="F28" s="197" t="s">
        <v>923</v>
      </c>
      <c r="G28" s="274" t="s">
        <v>716</v>
      </c>
      <c r="H28" s="186">
        <v>1.0416666666666666E-2</v>
      </c>
      <c r="I28" s="68">
        <v>42621.697916666664</v>
      </c>
      <c r="J28" s="68">
        <f t="shared" si="7"/>
        <v>42621.708333333328</v>
      </c>
      <c r="K28" s="156"/>
      <c r="L28" s="156"/>
      <c r="M28" s="129"/>
      <c r="N28" s="128"/>
    </row>
    <row r="29" spans="1:14" ht="38.25" outlineLevel="2" x14ac:dyDescent="0.2">
      <c r="A29" s="12"/>
      <c r="B29" s="13"/>
      <c r="C29" s="156" t="s">
        <v>843</v>
      </c>
      <c r="D29" s="157"/>
      <c r="E29" s="158" t="s">
        <v>846</v>
      </c>
      <c r="F29" s="197" t="s">
        <v>923</v>
      </c>
      <c r="G29" s="274" t="s">
        <v>716</v>
      </c>
      <c r="H29" s="186">
        <v>1.0416666666666666E-2</v>
      </c>
      <c r="I29" s="68">
        <v>42621.697916666664</v>
      </c>
      <c r="J29" s="68">
        <f t="shared" si="7"/>
        <v>42621.708333333328</v>
      </c>
      <c r="K29" s="156"/>
      <c r="L29" s="156"/>
      <c r="M29" s="129"/>
      <c r="N29" s="128"/>
    </row>
    <row r="30" spans="1:14" ht="38.25" outlineLevel="2" x14ac:dyDescent="0.2">
      <c r="A30" s="12"/>
      <c r="B30" s="13"/>
      <c r="C30" s="156" t="s">
        <v>843</v>
      </c>
      <c r="D30" s="157"/>
      <c r="E30" s="158" t="s">
        <v>847</v>
      </c>
      <c r="F30" s="197" t="s">
        <v>923</v>
      </c>
      <c r="G30" s="274" t="s">
        <v>716</v>
      </c>
      <c r="H30" s="186">
        <v>1.0416666666666666E-2</v>
      </c>
      <c r="I30" s="68">
        <v>42621.697916666664</v>
      </c>
      <c r="J30" s="68">
        <f t="shared" si="7"/>
        <v>42621.708333333328</v>
      </c>
      <c r="K30" s="156"/>
      <c r="L30" s="156"/>
      <c r="M30" s="129"/>
      <c r="N30" s="128"/>
    </row>
    <row r="31" spans="1:14" ht="38.25" outlineLevel="2" x14ac:dyDescent="0.2">
      <c r="A31" s="12"/>
      <c r="B31" s="13"/>
      <c r="C31" s="156" t="s">
        <v>843</v>
      </c>
      <c r="D31" s="157"/>
      <c r="E31" s="158" t="s">
        <v>848</v>
      </c>
      <c r="F31" s="197" t="s">
        <v>923</v>
      </c>
      <c r="G31" s="274" t="s">
        <v>716</v>
      </c>
      <c r="H31" s="186">
        <v>1.0416666666666666E-2</v>
      </c>
      <c r="I31" s="68">
        <v>42621.697916666664</v>
      </c>
      <c r="J31" s="68">
        <f t="shared" si="7"/>
        <v>42621.708333333328</v>
      </c>
      <c r="K31" s="156"/>
      <c r="L31" s="156"/>
      <c r="M31" s="129"/>
      <c r="N31" s="128"/>
    </row>
    <row r="32" spans="1:14" ht="38.25" outlineLevel="2" x14ac:dyDescent="0.2">
      <c r="A32" s="12"/>
      <c r="B32" s="13"/>
      <c r="C32" s="156" t="s">
        <v>843</v>
      </c>
      <c r="D32" s="157"/>
      <c r="E32" s="158" t="s">
        <v>849</v>
      </c>
      <c r="F32" s="197" t="s">
        <v>923</v>
      </c>
      <c r="G32" s="274" t="s">
        <v>716</v>
      </c>
      <c r="H32" s="186">
        <v>1.0416666666666666E-2</v>
      </c>
      <c r="I32" s="68">
        <v>42621.697916666664</v>
      </c>
      <c r="J32" s="68">
        <f t="shared" si="7"/>
        <v>42621.708333333328</v>
      </c>
      <c r="K32" s="156"/>
      <c r="L32" s="156"/>
      <c r="M32" s="129"/>
      <c r="N32" s="128"/>
    </row>
    <row r="33" spans="1:14" ht="25.5" outlineLevel="2" x14ac:dyDescent="0.2">
      <c r="A33" s="12"/>
      <c r="B33" s="13"/>
      <c r="C33" s="156" t="s">
        <v>850</v>
      </c>
      <c r="D33" s="157"/>
      <c r="E33" s="158" t="s">
        <v>851</v>
      </c>
      <c r="F33" s="197" t="s">
        <v>923</v>
      </c>
      <c r="G33" s="274" t="s">
        <v>716</v>
      </c>
      <c r="H33" s="186">
        <v>1.0416666666666666E-2</v>
      </c>
      <c r="I33" s="68">
        <v>42621.697916666664</v>
      </c>
      <c r="J33" s="68">
        <f t="shared" si="7"/>
        <v>42621.708333333328</v>
      </c>
      <c r="K33" s="156"/>
      <c r="L33" s="156"/>
      <c r="M33" s="129"/>
      <c r="N33" s="128"/>
    </row>
    <row r="34" spans="1:14" s="124" customFormat="1" outlineLevel="2" x14ac:dyDescent="0.2">
      <c r="A34" s="12"/>
      <c r="B34" s="13"/>
      <c r="C34" s="269" t="s">
        <v>1056</v>
      </c>
      <c r="D34" s="270"/>
      <c r="E34" s="271" t="s">
        <v>970</v>
      </c>
      <c r="F34" s="271" t="s">
        <v>971</v>
      </c>
      <c r="G34" s="274" t="s">
        <v>716</v>
      </c>
      <c r="H34" s="200">
        <v>1.0416666666666666E-2</v>
      </c>
      <c r="I34" s="68">
        <f>I33+2</f>
        <v>42623.697916666664</v>
      </c>
      <c r="J34" s="201">
        <f>I34+H34</f>
        <v>42623.708333333328</v>
      </c>
      <c r="K34" s="272"/>
      <c r="L34" s="272"/>
      <c r="M34" s="172"/>
      <c r="N34" s="173"/>
    </row>
    <row r="35" spans="1:14" s="124" customFormat="1" outlineLevel="2" x14ac:dyDescent="0.2">
      <c r="A35" s="12"/>
      <c r="B35" s="13"/>
      <c r="C35" s="197" t="s">
        <v>930</v>
      </c>
      <c r="D35" s="120">
        <v>77</v>
      </c>
      <c r="E35" s="185" t="s">
        <v>1055</v>
      </c>
      <c r="F35" s="185"/>
      <c r="G35" s="274" t="s">
        <v>716</v>
      </c>
      <c r="H35" s="200">
        <v>1.0416666666666666E-2</v>
      </c>
      <c r="I35" s="68">
        <v>42621.71875</v>
      </c>
      <c r="J35" s="68">
        <f>I35+H35</f>
        <v>42621.729166666664</v>
      </c>
      <c r="K35" s="16"/>
      <c r="L35" s="91" t="s">
        <v>808</v>
      </c>
      <c r="M35" s="129"/>
      <c r="N35" s="128"/>
    </row>
    <row r="36" spans="1:14" s="124" customFormat="1" outlineLevel="2" x14ac:dyDescent="0.2">
      <c r="A36" s="12"/>
      <c r="B36" s="13"/>
      <c r="C36" s="269" t="s">
        <v>1059</v>
      </c>
      <c r="D36" s="270"/>
      <c r="E36" s="271" t="s">
        <v>970</v>
      </c>
      <c r="F36" s="271" t="s">
        <v>971</v>
      </c>
      <c r="G36" s="274" t="s">
        <v>716</v>
      </c>
      <c r="H36" s="200">
        <v>1.0416666666666666E-2</v>
      </c>
      <c r="I36" s="68">
        <f>J33</f>
        <v>42621.708333333328</v>
      </c>
      <c r="J36" s="201">
        <f>I36+H36</f>
        <v>42621.718749999993</v>
      </c>
      <c r="K36" s="272"/>
      <c r="L36" s="272"/>
      <c r="M36" s="172"/>
      <c r="N36" s="173"/>
    </row>
    <row r="37" spans="1:14" s="11" customFormat="1" ht="25.5" outlineLevel="2" x14ac:dyDescent="0.2">
      <c r="A37" s="12"/>
      <c r="B37" s="129"/>
      <c r="C37" s="184" t="s">
        <v>151</v>
      </c>
      <c r="D37" s="182">
        <v>2</v>
      </c>
      <c r="E37" s="273" t="s">
        <v>152</v>
      </c>
      <c r="F37" s="193" t="s">
        <v>150</v>
      </c>
      <c r="G37" s="274" t="s">
        <v>716</v>
      </c>
      <c r="H37" s="200">
        <v>1.0416666666666666E-2</v>
      </c>
      <c r="I37" s="68">
        <v>42621.71875</v>
      </c>
      <c r="J37" s="201">
        <f>I37+H37</f>
        <v>42621.729166666664</v>
      </c>
      <c r="K37" s="68"/>
      <c r="L37" s="66" t="s">
        <v>940</v>
      </c>
      <c r="M37" s="129"/>
      <c r="N37" s="128"/>
    </row>
    <row r="38" spans="1:14" outlineLevel="2" x14ac:dyDescent="0.2">
      <c r="A38" s="12"/>
      <c r="B38" s="13"/>
      <c r="C38" s="59" t="s">
        <v>932</v>
      </c>
      <c r="D38" s="183"/>
      <c r="E38" s="18" t="s">
        <v>178</v>
      </c>
      <c r="F38" s="18" t="s">
        <v>923</v>
      </c>
      <c r="G38" s="274" t="s">
        <v>716</v>
      </c>
      <c r="H38" s="176">
        <v>6.9444444444444441E-3</v>
      </c>
      <c r="I38" s="177">
        <f>J37</f>
        <v>42621.729166666664</v>
      </c>
      <c r="J38" s="177">
        <f t="shared" ref="J38" si="8">I38+H38</f>
        <v>42621.736111111109</v>
      </c>
      <c r="K38" s="59"/>
      <c r="L38" s="59"/>
      <c r="M38" s="172"/>
      <c r="N38" s="173"/>
    </row>
    <row r="39" spans="1:14" s="11" customFormat="1" ht="89.25" outlineLevel="2" x14ac:dyDescent="0.2">
      <c r="A39" s="12"/>
      <c r="B39" s="129"/>
      <c r="C39" s="14" t="s">
        <v>142</v>
      </c>
      <c r="D39" s="120">
        <v>75</v>
      </c>
      <c r="E39" s="17" t="s">
        <v>28</v>
      </c>
      <c r="F39" s="193" t="s">
        <v>167</v>
      </c>
      <c r="G39" s="274" t="s">
        <v>716</v>
      </c>
      <c r="H39" s="15">
        <v>1.0416666666666666E-2</v>
      </c>
      <c r="I39" s="16">
        <f>J25</f>
        <v>42621.756944444438</v>
      </c>
      <c r="J39" s="16">
        <f>H39+I39</f>
        <v>42621.767361111102</v>
      </c>
      <c r="K39" s="16"/>
      <c r="L39" s="16" t="s">
        <v>1093</v>
      </c>
      <c r="M39" s="129"/>
      <c r="N39" s="128"/>
    </row>
    <row r="40" spans="1:14" x14ac:dyDescent="0.2">
      <c r="A40" s="12"/>
      <c r="B40" s="13" t="s">
        <v>13</v>
      </c>
      <c r="C40" s="131"/>
      <c r="D40" s="133"/>
      <c r="E40" s="133"/>
      <c r="F40" s="133"/>
      <c r="G40" s="130"/>
      <c r="H40" s="130"/>
      <c r="I40" s="153" t="e">
        <f>+#REF!</f>
        <v>#REF!</v>
      </c>
      <c r="J40" s="153" t="e">
        <f t="shared" ref="J40" si="9">I40+H40</f>
        <v>#REF!</v>
      </c>
      <c r="K40" s="153"/>
      <c r="L40" s="131"/>
      <c r="M40" s="129"/>
      <c r="N40" s="128"/>
    </row>
    <row r="41" spans="1:14" ht="101.25" customHeight="1" x14ac:dyDescent="0.2">
      <c r="A41" s="12"/>
      <c r="B41" s="129"/>
      <c r="C41" s="188" t="s">
        <v>941</v>
      </c>
      <c r="D41" s="116">
        <v>80</v>
      </c>
      <c r="E41" s="116" t="s">
        <v>155</v>
      </c>
      <c r="F41" s="116" t="s">
        <v>948</v>
      </c>
      <c r="G41" s="119" t="s">
        <v>716</v>
      </c>
      <c r="H41" s="122">
        <v>6.9444444444444441E-3</v>
      </c>
      <c r="I41" s="187">
        <v>42621.729166666664</v>
      </c>
      <c r="J41" s="114">
        <f>I41+H41</f>
        <v>42621.736111111109</v>
      </c>
      <c r="K41" s="115"/>
      <c r="L41" s="188" t="s">
        <v>942</v>
      </c>
      <c r="M41" s="129"/>
      <c r="N41" s="128"/>
    </row>
    <row r="42" spans="1:14" ht="44.25" customHeight="1" x14ac:dyDescent="0.2">
      <c r="A42" s="12"/>
      <c r="B42" s="172"/>
      <c r="C42" s="188" t="s">
        <v>943</v>
      </c>
      <c r="D42" s="116"/>
      <c r="E42" s="116" t="s">
        <v>28</v>
      </c>
      <c r="F42" s="116" t="s">
        <v>944</v>
      </c>
      <c r="G42" s="119" t="s">
        <v>716</v>
      </c>
      <c r="H42" s="122">
        <v>6.9444444444444441E-3</v>
      </c>
      <c r="I42" s="187">
        <f>J28</f>
        <v>42621.708333333328</v>
      </c>
      <c r="J42" s="187">
        <f>J28</f>
        <v>42621.708333333328</v>
      </c>
      <c r="K42" s="188"/>
      <c r="L42" s="188" t="s">
        <v>945</v>
      </c>
      <c r="M42" s="172"/>
      <c r="N42" s="173"/>
    </row>
    <row r="43" spans="1:14" ht="101.25" customHeight="1" x14ac:dyDescent="0.2">
      <c r="A43" s="12"/>
      <c r="B43" s="172"/>
      <c r="C43" s="188" t="s">
        <v>946</v>
      </c>
      <c r="D43" s="116">
        <v>80</v>
      </c>
      <c r="E43" s="116" t="s">
        <v>155</v>
      </c>
      <c r="F43" s="116" t="s">
        <v>948</v>
      </c>
      <c r="G43" s="119" t="s">
        <v>716</v>
      </c>
      <c r="H43" s="122">
        <v>6.9444444444444441E-3</v>
      </c>
      <c r="I43" s="187">
        <f>J41</f>
        <v>42621.736111111109</v>
      </c>
      <c r="J43" s="187">
        <f>I43+H43</f>
        <v>42621.743055555555</v>
      </c>
      <c r="K43" s="188"/>
      <c r="L43" s="188" t="s">
        <v>1095</v>
      </c>
      <c r="M43" s="172"/>
      <c r="N43" s="173"/>
    </row>
    <row r="44" spans="1:14" x14ac:dyDescent="0.2">
      <c r="A44" s="12">
        <v>70</v>
      </c>
      <c r="B44" s="129"/>
      <c r="C44" s="188" t="s">
        <v>947</v>
      </c>
      <c r="D44" s="116">
        <v>81</v>
      </c>
      <c r="E44" s="116" t="s">
        <v>155</v>
      </c>
      <c r="F44" s="116" t="s">
        <v>949</v>
      </c>
      <c r="G44" s="119" t="s">
        <v>716</v>
      </c>
      <c r="H44" s="122">
        <v>3.472222222222222E-3</v>
      </c>
      <c r="I44" s="187">
        <f>J43</f>
        <v>42621.743055555555</v>
      </c>
      <c r="J44" s="114">
        <f>I44+H44</f>
        <v>42621.746527777774</v>
      </c>
      <c r="K44" s="115"/>
      <c r="L44" s="154" t="s">
        <v>1058</v>
      </c>
      <c r="M44" s="129"/>
      <c r="N44" s="128"/>
    </row>
    <row r="45" spans="1:14" x14ac:dyDescent="0.2">
      <c r="A45" s="12"/>
      <c r="B45" s="129"/>
      <c r="C45" s="196" t="s">
        <v>60</v>
      </c>
      <c r="D45" s="29"/>
      <c r="E45" s="17"/>
      <c r="F45" s="17"/>
      <c r="G45" s="196"/>
      <c r="H45" s="199"/>
      <c r="I45" s="16"/>
      <c r="J45" s="16"/>
      <c r="K45" s="14"/>
      <c r="L45" s="14"/>
      <c r="M45" s="129"/>
      <c r="N45" s="128"/>
    </row>
    <row r="46" spans="1:14" ht="38.25" x14ac:dyDescent="0.2">
      <c r="A46" s="12"/>
      <c r="B46" s="129"/>
      <c r="C46" s="14" t="s">
        <v>129</v>
      </c>
      <c r="D46" s="29">
        <v>83</v>
      </c>
      <c r="E46" s="17" t="s">
        <v>28</v>
      </c>
      <c r="F46" s="17"/>
      <c r="G46" s="274" t="s">
        <v>716</v>
      </c>
      <c r="H46" s="33">
        <v>2.0833333333333332E-2</v>
      </c>
      <c r="I46" s="16">
        <f>J44</f>
        <v>42621.746527777774</v>
      </c>
      <c r="J46" s="177">
        <f>I46+H46</f>
        <v>42621.767361111109</v>
      </c>
      <c r="K46" s="14"/>
      <c r="L46" s="197" t="s">
        <v>950</v>
      </c>
      <c r="M46" s="129"/>
      <c r="N46" s="128"/>
    </row>
    <row r="47" spans="1:14" x14ac:dyDescent="0.2">
      <c r="A47" s="12"/>
      <c r="B47" s="172"/>
      <c r="C47" s="210" t="s">
        <v>58</v>
      </c>
      <c r="D47" s="211">
        <v>67</v>
      </c>
      <c r="E47" s="212" t="s">
        <v>28</v>
      </c>
      <c r="F47" s="212" t="s">
        <v>29</v>
      </c>
      <c r="G47" s="274" t="s">
        <v>716</v>
      </c>
      <c r="H47" s="213">
        <v>2.0833333333333333E-3</v>
      </c>
      <c r="I47" s="214">
        <f>J46</f>
        <v>42621.767361111109</v>
      </c>
      <c r="J47" s="214">
        <f t="shared" ref="J47" si="10">I47+H47</f>
        <v>42621.769444444442</v>
      </c>
      <c r="K47" s="214"/>
      <c r="L47" s="260" t="s">
        <v>1050</v>
      </c>
      <c r="M47" s="172"/>
      <c r="N47" s="173"/>
    </row>
    <row r="48" spans="1:14" s="11" customFormat="1" ht="38.25" outlineLevel="1" x14ac:dyDescent="0.2">
      <c r="A48" s="12"/>
      <c r="B48" s="129"/>
      <c r="C48" s="14" t="s">
        <v>61</v>
      </c>
      <c r="D48" s="29">
        <v>84</v>
      </c>
      <c r="E48" s="17" t="s">
        <v>28</v>
      </c>
      <c r="F48" s="17" t="s">
        <v>29</v>
      </c>
      <c r="G48" s="274" t="s">
        <v>716</v>
      </c>
      <c r="H48" s="33">
        <v>9.7222222222222224E-3</v>
      </c>
      <c r="I48" s="16">
        <f>J47</f>
        <v>42621.769444444442</v>
      </c>
      <c r="J48" s="16">
        <f t="shared" si="0"/>
        <v>42621.779166666667</v>
      </c>
      <c r="K48" s="14"/>
      <c r="L48" s="14" t="s">
        <v>123</v>
      </c>
      <c r="M48" s="129"/>
      <c r="N48" s="128"/>
    </row>
    <row r="49" spans="1:15" s="124" customFormat="1" outlineLevel="2" x14ac:dyDescent="0.2">
      <c r="A49" s="12"/>
      <c r="B49" s="129"/>
      <c r="C49" s="14" t="s">
        <v>62</v>
      </c>
      <c r="D49" s="29">
        <v>85</v>
      </c>
      <c r="E49" s="17" t="s">
        <v>28</v>
      </c>
      <c r="F49" s="17" t="s">
        <v>29</v>
      </c>
      <c r="G49" s="274" t="s">
        <v>716</v>
      </c>
      <c r="H49" s="122">
        <v>8.3333333333333329E-2</v>
      </c>
      <c r="I49" s="16">
        <f>J48</f>
        <v>42621.779166666667</v>
      </c>
      <c r="J49" s="16">
        <f t="shared" si="0"/>
        <v>42621.862500000003</v>
      </c>
      <c r="K49" s="14"/>
      <c r="L49" s="14" t="s">
        <v>1097</v>
      </c>
      <c r="M49" s="129"/>
      <c r="N49" s="128"/>
    </row>
    <row r="50" spans="1:15" x14ac:dyDescent="0.2">
      <c r="A50" s="12"/>
      <c r="B50" s="129"/>
      <c r="C50" s="14" t="s">
        <v>63</v>
      </c>
      <c r="D50" s="29">
        <v>86</v>
      </c>
      <c r="E50" s="17" t="s">
        <v>28</v>
      </c>
      <c r="F50" s="17" t="s">
        <v>29</v>
      </c>
      <c r="G50" s="274" t="s">
        <v>716</v>
      </c>
      <c r="H50" s="33">
        <v>1.3888888888888889E-3</v>
      </c>
      <c r="I50" s="16">
        <f t="shared" ref="I50:I55" si="11">+J49</f>
        <v>42621.862500000003</v>
      </c>
      <c r="J50" s="16">
        <f t="shared" si="0"/>
        <v>42621.863888888889</v>
      </c>
      <c r="K50" s="14"/>
      <c r="L50" s="14"/>
      <c r="M50" s="129"/>
      <c r="N50" s="128"/>
    </row>
    <row r="51" spans="1:15" x14ac:dyDescent="0.2">
      <c r="A51" s="12"/>
      <c r="B51" s="129"/>
      <c r="C51" s="196" t="s">
        <v>64</v>
      </c>
      <c r="D51" s="29"/>
      <c r="E51" s="17"/>
      <c r="F51" s="17"/>
      <c r="G51" s="196"/>
      <c r="H51" s="199"/>
      <c r="I51" s="16"/>
      <c r="J51" s="16"/>
      <c r="K51" s="14"/>
      <c r="L51" s="14"/>
      <c r="M51" s="129"/>
      <c r="N51" s="128"/>
    </row>
    <row r="52" spans="1:15" ht="63.75" x14ac:dyDescent="0.2">
      <c r="A52" s="12"/>
      <c r="B52" s="129"/>
      <c r="C52" s="14" t="s">
        <v>65</v>
      </c>
      <c r="D52" s="29">
        <v>88</v>
      </c>
      <c r="E52" s="17" t="s">
        <v>28</v>
      </c>
      <c r="F52" s="17" t="s">
        <v>29</v>
      </c>
      <c r="G52" s="274" t="s">
        <v>716</v>
      </c>
      <c r="H52" s="33">
        <v>1.0416666666666666E-2</v>
      </c>
      <c r="I52" s="16">
        <f>J50</f>
        <v>42621.863888888889</v>
      </c>
      <c r="J52" s="16">
        <f t="shared" si="0"/>
        <v>42621.874305555553</v>
      </c>
      <c r="K52" s="14"/>
      <c r="L52" s="14" t="s">
        <v>1098</v>
      </c>
      <c r="M52" s="129"/>
      <c r="N52" s="128"/>
      <c r="O52" s="18" t="s">
        <v>913</v>
      </c>
    </row>
    <row r="53" spans="1:15" ht="51.75" customHeight="1" x14ac:dyDescent="0.2">
      <c r="A53" s="12"/>
      <c r="B53" s="129"/>
      <c r="C53" s="14" t="s">
        <v>66</v>
      </c>
      <c r="D53" s="29">
        <v>89</v>
      </c>
      <c r="E53" s="17" t="s">
        <v>28</v>
      </c>
      <c r="F53" s="17" t="s">
        <v>29</v>
      </c>
      <c r="G53" s="274" t="s">
        <v>716</v>
      </c>
      <c r="H53" s="122">
        <v>0.125</v>
      </c>
      <c r="I53" s="16">
        <f t="shared" si="11"/>
        <v>42621.874305555553</v>
      </c>
      <c r="J53" s="16">
        <f t="shared" si="0"/>
        <v>42621.999305555553</v>
      </c>
      <c r="K53" s="14"/>
      <c r="L53" s="14" t="s">
        <v>791</v>
      </c>
      <c r="M53" s="129"/>
      <c r="N53" s="128"/>
      <c r="O53" s="18" t="s">
        <v>913</v>
      </c>
    </row>
    <row r="54" spans="1:15" x14ac:dyDescent="0.2">
      <c r="A54" s="12"/>
      <c r="B54" s="129"/>
      <c r="C54" s="14" t="s">
        <v>67</v>
      </c>
      <c r="D54" s="29">
        <v>90</v>
      </c>
      <c r="E54" s="17" t="s">
        <v>28</v>
      </c>
      <c r="F54" s="17" t="s">
        <v>29</v>
      </c>
      <c r="G54" s="274" t="s">
        <v>716</v>
      </c>
      <c r="H54" s="33">
        <v>3.472222222222222E-3</v>
      </c>
      <c r="I54" s="16">
        <f t="shared" si="11"/>
        <v>42621.999305555553</v>
      </c>
      <c r="J54" s="16">
        <f t="shared" si="0"/>
        <v>42622.002777777772</v>
      </c>
      <c r="K54" s="14"/>
      <c r="L54" s="14"/>
      <c r="M54" s="129"/>
      <c r="N54" s="128"/>
    </row>
    <row r="55" spans="1:15" ht="169.5" customHeight="1" x14ac:dyDescent="0.2">
      <c r="A55" s="12"/>
      <c r="B55" s="129"/>
      <c r="C55" s="210" t="s">
        <v>68</v>
      </c>
      <c r="D55" s="211">
        <v>91</v>
      </c>
      <c r="E55" s="212" t="s">
        <v>28</v>
      </c>
      <c r="F55" s="212" t="s">
        <v>29</v>
      </c>
      <c r="G55" s="274" t="s">
        <v>716</v>
      </c>
      <c r="H55" s="215">
        <v>3.472222222222222E-3</v>
      </c>
      <c r="I55" s="214">
        <f t="shared" si="11"/>
        <v>42622.002777777772</v>
      </c>
      <c r="J55" s="214">
        <f t="shared" si="0"/>
        <v>42622.006249999991</v>
      </c>
      <c r="K55" s="210"/>
      <c r="L55" s="216" t="s">
        <v>1096</v>
      </c>
      <c r="M55" s="129"/>
      <c r="N55" s="128"/>
    </row>
    <row r="56" spans="1:15" x14ac:dyDescent="0.2">
      <c r="A56" s="12"/>
      <c r="B56" s="129"/>
      <c r="C56" s="129"/>
      <c r="D56" s="129"/>
      <c r="E56" s="129"/>
      <c r="F56" s="129"/>
      <c r="G56" s="129"/>
      <c r="H56" s="129"/>
      <c r="I56" s="129"/>
      <c r="J56" s="129"/>
      <c r="K56" s="129"/>
      <c r="L56" s="129"/>
      <c r="M56" s="129"/>
      <c r="N56" s="128"/>
    </row>
    <row r="57" spans="1:15" x14ac:dyDescent="0.2">
      <c r="A57" s="12"/>
      <c r="B57" s="12"/>
      <c r="C57" s="12"/>
      <c r="D57" s="12"/>
      <c r="E57" s="12"/>
      <c r="F57" s="12"/>
      <c r="G57" s="12"/>
      <c r="H57" s="12"/>
      <c r="I57" s="12"/>
      <c r="J57" s="12"/>
      <c r="K57" s="12"/>
      <c r="L57" s="12"/>
      <c r="M57" s="12"/>
      <c r="N57" s="12"/>
    </row>
  </sheetData>
  <conditionalFormatting sqref="G41:G45 G9 G4:G7 G51 G35:G39 G12:G33">
    <cfRule type="cellIs" dxfId="821" priority="349" operator="equal">
      <formula>"N/A"</formula>
    </cfRule>
    <cfRule type="cellIs" dxfId="820" priority="350" stopIfTrue="1" operator="equal">
      <formula>"Failed"</formula>
    </cfRule>
    <cfRule type="cellIs" dxfId="819" priority="351" stopIfTrue="1" operator="equal">
      <formula>"In progress"</formula>
    </cfRule>
    <cfRule type="cellIs" dxfId="818" priority="352" stopIfTrue="1" operator="equal">
      <formula>"Passed"</formula>
    </cfRule>
  </conditionalFormatting>
  <conditionalFormatting sqref="G38">
    <cfRule type="cellIs" dxfId="817" priority="49" operator="equal">
      <formula>"N/A"</formula>
    </cfRule>
    <cfRule type="cellIs" dxfId="816" priority="50" stopIfTrue="1" operator="equal">
      <formula>"Failed"</formula>
    </cfRule>
    <cfRule type="cellIs" dxfId="815" priority="51" stopIfTrue="1" operator="equal">
      <formula>"In progress"</formula>
    </cfRule>
    <cfRule type="cellIs" dxfId="814" priority="52" stopIfTrue="1" operator="equal">
      <formula>"Passed"</formula>
    </cfRule>
  </conditionalFormatting>
  <conditionalFormatting sqref="G42">
    <cfRule type="cellIs" dxfId="813" priority="45" operator="equal">
      <formula>"N/A"</formula>
    </cfRule>
    <cfRule type="cellIs" dxfId="812" priority="46" stopIfTrue="1" operator="equal">
      <formula>"Failed"</formula>
    </cfRule>
    <cfRule type="cellIs" dxfId="811" priority="47" stopIfTrue="1" operator="equal">
      <formula>"In progress"</formula>
    </cfRule>
    <cfRule type="cellIs" dxfId="810" priority="48" stopIfTrue="1" operator="equal">
      <formula>"Passed"</formula>
    </cfRule>
  </conditionalFormatting>
  <conditionalFormatting sqref="G34">
    <cfRule type="cellIs" dxfId="809" priority="33" operator="equal">
      <formula>"N/A"</formula>
    </cfRule>
    <cfRule type="cellIs" dxfId="808" priority="34" stopIfTrue="1" operator="equal">
      <formula>"Failed"</formula>
    </cfRule>
    <cfRule type="cellIs" dxfId="807" priority="35" stopIfTrue="1" operator="equal">
      <formula>"In progress"</formula>
    </cfRule>
    <cfRule type="cellIs" dxfId="806" priority="36" stopIfTrue="1" operator="equal">
      <formula>"Passed"</formula>
    </cfRule>
  </conditionalFormatting>
  <conditionalFormatting sqref="G46:G48">
    <cfRule type="cellIs" dxfId="805" priority="25" operator="equal">
      <formula>"N/A"</formula>
    </cfRule>
    <cfRule type="cellIs" dxfId="804" priority="26" stopIfTrue="1" operator="equal">
      <formula>"Failed"</formula>
    </cfRule>
    <cfRule type="cellIs" dxfId="803" priority="27" stopIfTrue="1" operator="equal">
      <formula>"In progress"</formula>
    </cfRule>
    <cfRule type="cellIs" dxfId="802" priority="28" stopIfTrue="1" operator="equal">
      <formula>"Passed"</formula>
    </cfRule>
  </conditionalFormatting>
  <conditionalFormatting sqref="G49">
    <cfRule type="cellIs" dxfId="801" priority="21" operator="equal">
      <formula>"N/A"</formula>
    </cfRule>
    <cfRule type="cellIs" dxfId="800" priority="22" stopIfTrue="1" operator="equal">
      <formula>"Failed"</formula>
    </cfRule>
    <cfRule type="cellIs" dxfId="799" priority="23" stopIfTrue="1" operator="equal">
      <formula>"In progress"</formula>
    </cfRule>
    <cfRule type="cellIs" dxfId="798" priority="24" stopIfTrue="1" operator="equal">
      <formula>"Passed"</formula>
    </cfRule>
  </conditionalFormatting>
  <conditionalFormatting sqref="G50">
    <cfRule type="cellIs" dxfId="797" priority="17" operator="equal">
      <formula>"N/A"</formula>
    </cfRule>
    <cfRule type="cellIs" dxfId="796" priority="18" stopIfTrue="1" operator="equal">
      <formula>"Failed"</formula>
    </cfRule>
    <cfRule type="cellIs" dxfId="795" priority="19" stopIfTrue="1" operator="equal">
      <formula>"In progress"</formula>
    </cfRule>
    <cfRule type="cellIs" dxfId="794" priority="20" stopIfTrue="1" operator="equal">
      <formula>"Passed"</formula>
    </cfRule>
  </conditionalFormatting>
  <conditionalFormatting sqref="G52">
    <cfRule type="cellIs" dxfId="793" priority="13" operator="equal">
      <formula>"N/A"</formula>
    </cfRule>
    <cfRule type="cellIs" dxfId="792" priority="14" stopIfTrue="1" operator="equal">
      <formula>"Failed"</formula>
    </cfRule>
    <cfRule type="cellIs" dxfId="791" priority="15" stopIfTrue="1" operator="equal">
      <formula>"In progress"</formula>
    </cfRule>
    <cfRule type="cellIs" dxfId="790" priority="16" stopIfTrue="1" operator="equal">
      <formula>"Passed"</formula>
    </cfRule>
  </conditionalFormatting>
  <conditionalFormatting sqref="G53">
    <cfRule type="cellIs" dxfId="789" priority="9" operator="equal">
      <formula>"N/A"</formula>
    </cfRule>
    <cfRule type="cellIs" dxfId="788" priority="10" stopIfTrue="1" operator="equal">
      <formula>"Failed"</formula>
    </cfRule>
    <cfRule type="cellIs" dxfId="787" priority="11" stopIfTrue="1" operator="equal">
      <formula>"In progress"</formula>
    </cfRule>
    <cfRule type="cellIs" dxfId="786" priority="12" stopIfTrue="1" operator="equal">
      <formula>"Passed"</formula>
    </cfRule>
  </conditionalFormatting>
  <conditionalFormatting sqref="G54">
    <cfRule type="cellIs" dxfId="785" priority="5" operator="equal">
      <formula>"N/A"</formula>
    </cfRule>
    <cfRule type="cellIs" dxfId="784" priority="6" stopIfTrue="1" operator="equal">
      <formula>"Failed"</formula>
    </cfRule>
    <cfRule type="cellIs" dxfId="783" priority="7" stopIfTrue="1" operator="equal">
      <formula>"In progress"</formula>
    </cfRule>
    <cfRule type="cellIs" dxfId="782" priority="8" stopIfTrue="1" operator="equal">
      <formula>"Passed"</formula>
    </cfRule>
  </conditionalFormatting>
  <conditionalFormatting sqref="G55">
    <cfRule type="cellIs" dxfId="781" priority="1" operator="equal">
      <formula>"N/A"</formula>
    </cfRule>
    <cfRule type="cellIs" dxfId="780" priority="2" stopIfTrue="1" operator="equal">
      <formula>"Failed"</formula>
    </cfRule>
    <cfRule type="cellIs" dxfId="779" priority="3" stopIfTrue="1" operator="equal">
      <formula>"In progress"</formula>
    </cfRule>
    <cfRule type="cellIs" dxfId="778" priority="4" stopIfTrue="1" operator="equal">
      <formula>"Passed"</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zoomScale="80" zoomScaleNormal="80" workbookViewId="0">
      <selection activeCell="H75" sqref="H75"/>
    </sheetView>
  </sheetViews>
  <sheetFormatPr baseColWidth="10" defaultRowHeight="12.75" outlineLevelRow="2" x14ac:dyDescent="0.2"/>
  <cols>
    <col min="1" max="1" width="2.7109375" style="18" customWidth="1"/>
    <col min="2" max="2" width="2.42578125" style="18" customWidth="1"/>
    <col min="3" max="3" width="56.85546875" style="18" customWidth="1"/>
    <col min="4" max="4" width="11.85546875" style="18" customWidth="1"/>
    <col min="5" max="5" width="13.140625" style="18" bestFit="1" customWidth="1"/>
    <col min="6" max="6" width="19.140625" style="5" customWidth="1"/>
    <col min="7" max="7" width="14.5703125" style="18" customWidth="1"/>
    <col min="8" max="8" width="11.42578125" style="18" customWidth="1"/>
    <col min="9" max="9" width="16.28515625" style="18" customWidth="1"/>
    <col min="10" max="10" width="15.28515625" style="18" bestFit="1" customWidth="1"/>
    <col min="11" max="11" width="15.42578125" style="18" customWidth="1"/>
    <col min="12" max="12" width="66.42578125" style="18" customWidth="1"/>
    <col min="13" max="13" width="2" style="18" customWidth="1"/>
    <col min="14" max="14" width="2.28515625" style="18" customWidth="1"/>
    <col min="15" max="16384" width="11.42578125" style="18"/>
  </cols>
  <sheetData>
    <row r="1" spans="1:14" s="3" customFormat="1" x14ac:dyDescent="0.2">
      <c r="A1" s="2"/>
      <c r="B1" s="2"/>
      <c r="C1" s="20" t="s">
        <v>1</v>
      </c>
      <c r="D1" s="20" t="s">
        <v>0</v>
      </c>
      <c r="E1" s="19" t="s">
        <v>2</v>
      </c>
      <c r="F1" s="19" t="s">
        <v>3</v>
      </c>
      <c r="G1" s="19" t="s">
        <v>4</v>
      </c>
      <c r="H1" s="19" t="s">
        <v>5</v>
      </c>
      <c r="I1" s="21" t="s">
        <v>6</v>
      </c>
      <c r="J1" s="21" t="s">
        <v>7</v>
      </c>
      <c r="K1" s="21" t="s">
        <v>8</v>
      </c>
      <c r="L1" s="19" t="s">
        <v>9</v>
      </c>
      <c r="M1" s="19"/>
      <c r="N1" s="19"/>
    </row>
    <row r="2" spans="1:14" s="11" customFormat="1" outlineLevel="1" x14ac:dyDescent="0.2">
      <c r="A2" s="6" t="s">
        <v>83</v>
      </c>
      <c r="B2" s="7"/>
      <c r="C2" s="8"/>
      <c r="D2" s="9"/>
      <c r="E2" s="9"/>
      <c r="F2" s="9"/>
      <c r="G2" s="9"/>
      <c r="H2" s="9"/>
      <c r="I2" s="10"/>
      <c r="J2" s="10"/>
      <c r="K2" s="10"/>
      <c r="L2" s="8"/>
      <c r="M2" s="23"/>
      <c r="N2" s="22"/>
    </row>
    <row r="3" spans="1:14" s="4" customFormat="1" outlineLevel="2" x14ac:dyDescent="0.2">
      <c r="A3" s="12"/>
      <c r="B3" s="13" t="s">
        <v>82</v>
      </c>
      <c r="C3" s="25"/>
      <c r="D3" s="24"/>
      <c r="E3" s="24"/>
      <c r="F3" s="24"/>
      <c r="G3" s="24"/>
      <c r="H3" s="24"/>
      <c r="I3" s="26"/>
      <c r="J3" s="26"/>
      <c r="K3" s="26"/>
      <c r="L3" s="25"/>
      <c r="M3" s="23"/>
      <c r="N3" s="22"/>
    </row>
    <row r="4" spans="1:14" s="11" customFormat="1" outlineLevel="2" x14ac:dyDescent="0.2">
      <c r="A4" s="12"/>
      <c r="B4" s="129"/>
      <c r="C4" s="115" t="s">
        <v>785</v>
      </c>
      <c r="D4" s="116">
        <v>1</v>
      </c>
      <c r="E4" s="218" t="s">
        <v>155</v>
      </c>
      <c r="F4" s="117" t="s">
        <v>938</v>
      </c>
      <c r="G4" s="121" t="s">
        <v>716</v>
      </c>
      <c r="H4" s="118">
        <v>2.0833333333333332E-2</v>
      </c>
      <c r="I4" s="114">
        <f>'02'' - Upgrade dowtime'!J55</f>
        <v>42622.006249999991</v>
      </c>
      <c r="J4" s="114">
        <f t="shared" ref="J4:J20" si="0">I4+H4</f>
        <v>42622.027083333327</v>
      </c>
      <c r="K4" s="114"/>
      <c r="L4" s="114" t="s">
        <v>792</v>
      </c>
      <c r="M4" s="129"/>
      <c r="N4" s="128"/>
    </row>
    <row r="5" spans="1:14" s="11" customFormat="1" ht="25.5" outlineLevel="2" x14ac:dyDescent="0.2">
      <c r="A5" s="12"/>
      <c r="B5" s="23"/>
      <c r="C5" s="14" t="s">
        <v>70</v>
      </c>
      <c r="D5" s="29">
        <v>1</v>
      </c>
      <c r="E5" s="17" t="s">
        <v>28</v>
      </c>
      <c r="F5" s="17" t="s">
        <v>29</v>
      </c>
      <c r="G5" s="274" t="s">
        <v>716</v>
      </c>
      <c r="H5" s="15">
        <v>2.7777777777777776E-2</v>
      </c>
      <c r="I5" s="16">
        <f>J4</f>
        <v>42622.027083333327</v>
      </c>
      <c r="J5" s="16">
        <f t="shared" si="0"/>
        <v>42622.054861111108</v>
      </c>
      <c r="K5" s="16"/>
      <c r="L5" s="16" t="s">
        <v>125</v>
      </c>
      <c r="M5" s="23"/>
      <c r="N5" s="22"/>
    </row>
    <row r="6" spans="1:14" s="11" customFormat="1" outlineLevel="2" x14ac:dyDescent="0.2">
      <c r="A6" s="12"/>
      <c r="B6" s="172"/>
      <c r="C6" s="197" t="s">
        <v>951</v>
      </c>
      <c r="D6" s="182">
        <v>14</v>
      </c>
      <c r="E6" s="193" t="s">
        <v>155</v>
      </c>
      <c r="F6" s="193" t="s">
        <v>938</v>
      </c>
      <c r="G6" s="274" t="s">
        <v>716</v>
      </c>
      <c r="H6" s="176">
        <v>6.9444444444444441E-3</v>
      </c>
      <c r="I6" s="177">
        <f>J5</f>
        <v>42622.054861111108</v>
      </c>
      <c r="J6" s="177">
        <f t="shared" si="0"/>
        <v>42622.061805555553</v>
      </c>
      <c r="K6" s="177"/>
      <c r="L6" s="208" t="s">
        <v>933</v>
      </c>
      <c r="M6" s="172"/>
      <c r="N6" s="173"/>
    </row>
    <row r="7" spans="1:14" s="11" customFormat="1" outlineLevel="2" x14ac:dyDescent="0.2">
      <c r="A7" s="12"/>
      <c r="B7" s="23"/>
      <c r="C7" s="14" t="s">
        <v>71</v>
      </c>
      <c r="D7" s="29">
        <v>3</v>
      </c>
      <c r="E7" s="17" t="s">
        <v>28</v>
      </c>
      <c r="F7" s="17" t="s">
        <v>126</v>
      </c>
      <c r="G7" s="274" t="s">
        <v>716</v>
      </c>
      <c r="H7" s="15">
        <v>3.472222222222222E-3</v>
      </c>
      <c r="I7" s="177">
        <f>J6</f>
        <v>42622.061805555553</v>
      </c>
      <c r="J7" s="177">
        <f t="shared" ref="J7" si="1">I7+H7</f>
        <v>42622.065277777772</v>
      </c>
      <c r="K7" s="16"/>
      <c r="L7" s="16"/>
      <c r="M7" s="23"/>
      <c r="N7" s="22"/>
    </row>
    <row r="8" spans="1:14" s="11" customFormat="1" outlineLevel="2" x14ac:dyDescent="0.2">
      <c r="A8" s="12"/>
      <c r="B8" s="23"/>
      <c r="C8" s="14" t="s">
        <v>72</v>
      </c>
      <c r="D8" s="29">
        <v>4</v>
      </c>
      <c r="E8" s="17" t="s">
        <v>28</v>
      </c>
      <c r="F8" s="17" t="s">
        <v>126</v>
      </c>
      <c r="G8" s="274" t="s">
        <v>716</v>
      </c>
      <c r="H8" s="15">
        <v>3.472222222222222E-3</v>
      </c>
      <c r="I8" s="16">
        <f t="shared" ref="I8:I18" si="2">J7</f>
        <v>42622.065277777772</v>
      </c>
      <c r="J8" s="16">
        <f t="shared" si="0"/>
        <v>42622.068749999991</v>
      </c>
      <c r="K8" s="16"/>
      <c r="L8" s="16"/>
      <c r="M8" s="23"/>
      <c r="N8" s="22"/>
    </row>
    <row r="9" spans="1:14" s="11" customFormat="1" outlineLevel="2" x14ac:dyDescent="0.2">
      <c r="A9" s="12"/>
      <c r="B9" s="23"/>
      <c r="C9" s="14" t="s">
        <v>73</v>
      </c>
      <c r="D9" s="29">
        <v>5</v>
      </c>
      <c r="E9" s="17" t="s">
        <v>28</v>
      </c>
      <c r="F9" s="17" t="s">
        <v>126</v>
      </c>
      <c r="G9" s="274" t="s">
        <v>716</v>
      </c>
      <c r="H9" s="15">
        <v>3.472222222222222E-3</v>
      </c>
      <c r="I9" s="16">
        <f t="shared" si="2"/>
        <v>42622.068749999991</v>
      </c>
      <c r="J9" s="16">
        <f t="shared" si="0"/>
        <v>42622.07222222221</v>
      </c>
      <c r="K9" s="16"/>
      <c r="L9" s="16"/>
      <c r="M9" s="23"/>
      <c r="N9" s="22"/>
    </row>
    <row r="10" spans="1:14" s="11" customFormat="1" outlineLevel="2" x14ac:dyDescent="0.2">
      <c r="A10" s="12"/>
      <c r="B10" s="23"/>
      <c r="C10" s="14" t="s">
        <v>74</v>
      </c>
      <c r="D10" s="29">
        <v>6</v>
      </c>
      <c r="E10" s="17" t="s">
        <v>28</v>
      </c>
      <c r="F10" s="17" t="s">
        <v>126</v>
      </c>
      <c r="G10" s="274" t="s">
        <v>716</v>
      </c>
      <c r="H10" s="15">
        <v>3.472222222222222E-3</v>
      </c>
      <c r="I10" s="16">
        <f>J9</f>
        <v>42622.07222222221</v>
      </c>
      <c r="J10" s="16">
        <f t="shared" si="0"/>
        <v>42622.075694444429</v>
      </c>
      <c r="K10" s="16"/>
      <c r="L10" s="16"/>
      <c r="M10" s="23"/>
      <c r="N10" s="22"/>
    </row>
    <row r="11" spans="1:14" s="11" customFormat="1" outlineLevel="2" x14ac:dyDescent="0.2">
      <c r="A11" s="12"/>
      <c r="B11" s="23"/>
      <c r="C11" s="14" t="s">
        <v>75</v>
      </c>
      <c r="D11" s="29">
        <v>7</v>
      </c>
      <c r="E11" s="17" t="s">
        <v>28</v>
      </c>
      <c r="F11" s="17" t="s">
        <v>126</v>
      </c>
      <c r="G11" s="274" t="s">
        <v>716</v>
      </c>
      <c r="H11" s="15">
        <v>3.472222222222222E-3</v>
      </c>
      <c r="I11" s="16">
        <f t="shared" si="2"/>
        <v>42622.075694444429</v>
      </c>
      <c r="J11" s="16">
        <f t="shared" si="0"/>
        <v>42622.079166666648</v>
      </c>
      <c r="K11" s="16"/>
      <c r="L11" s="16"/>
      <c r="M11" s="23"/>
      <c r="N11" s="22"/>
    </row>
    <row r="12" spans="1:14" s="11" customFormat="1" outlineLevel="2" x14ac:dyDescent="0.2">
      <c r="A12" s="12"/>
      <c r="B12" s="172"/>
      <c r="C12" s="197" t="s">
        <v>952</v>
      </c>
      <c r="D12" s="182">
        <v>14</v>
      </c>
      <c r="E12" s="193" t="s">
        <v>155</v>
      </c>
      <c r="F12" s="193" t="s">
        <v>938</v>
      </c>
      <c r="G12" s="274" t="s">
        <v>716</v>
      </c>
      <c r="H12" s="176">
        <v>3.472222222222222E-3</v>
      </c>
      <c r="I12" s="177">
        <f t="shared" ref="I12" si="3">J11</f>
        <v>42622.079166666648</v>
      </c>
      <c r="J12" s="177">
        <f t="shared" ref="J12" si="4">I12+H12</f>
        <v>42622.082638888867</v>
      </c>
      <c r="K12" s="177"/>
      <c r="L12" s="208" t="s">
        <v>933</v>
      </c>
      <c r="M12" s="172"/>
      <c r="N12" s="173"/>
    </row>
    <row r="13" spans="1:14" s="11" customFormat="1" outlineLevel="2" x14ac:dyDescent="0.2">
      <c r="A13" s="12"/>
      <c r="B13" s="23"/>
      <c r="C13" s="14" t="s">
        <v>76</v>
      </c>
      <c r="D13" s="29">
        <v>8</v>
      </c>
      <c r="E13" s="17" t="s">
        <v>28</v>
      </c>
      <c r="F13" s="17" t="s">
        <v>126</v>
      </c>
      <c r="G13" s="274" t="s">
        <v>716</v>
      </c>
      <c r="H13" s="15">
        <v>2.0833333333333332E-2</v>
      </c>
      <c r="I13" s="177">
        <f t="shared" ref="I13" si="5">J12</f>
        <v>42622.082638888867</v>
      </c>
      <c r="J13" s="177">
        <f t="shared" ref="J13" si="6">I13+H13</f>
        <v>42622.103472222203</v>
      </c>
      <c r="K13" s="16"/>
      <c r="L13" s="16"/>
      <c r="M13" s="23"/>
      <c r="N13" s="22"/>
    </row>
    <row r="14" spans="1:14" s="11" customFormat="1" outlineLevel="2" x14ac:dyDescent="0.2">
      <c r="A14" s="12"/>
      <c r="B14" s="23"/>
      <c r="C14" s="14" t="s">
        <v>77</v>
      </c>
      <c r="D14" s="29">
        <v>9</v>
      </c>
      <c r="E14" s="17" t="s">
        <v>28</v>
      </c>
      <c r="F14" s="17" t="s">
        <v>126</v>
      </c>
      <c r="G14" s="274" t="s">
        <v>716</v>
      </c>
      <c r="H14" s="15">
        <v>3.472222222222222E-3</v>
      </c>
      <c r="I14" s="16">
        <f t="shared" si="2"/>
        <v>42622.103472222203</v>
      </c>
      <c r="J14" s="16">
        <f t="shared" si="0"/>
        <v>42622.106944444422</v>
      </c>
      <c r="K14" s="16"/>
      <c r="L14" s="16"/>
      <c r="M14" s="23"/>
      <c r="N14" s="22"/>
    </row>
    <row r="15" spans="1:14" s="11" customFormat="1" outlineLevel="2" x14ac:dyDescent="0.2">
      <c r="A15" s="12"/>
      <c r="B15" s="23"/>
      <c r="C15" s="14" t="s">
        <v>78</v>
      </c>
      <c r="D15" s="29">
        <v>10</v>
      </c>
      <c r="E15" s="17" t="s">
        <v>28</v>
      </c>
      <c r="F15" s="17" t="s">
        <v>126</v>
      </c>
      <c r="G15" s="274" t="s">
        <v>716</v>
      </c>
      <c r="H15" s="15">
        <v>0.12847222222222224</v>
      </c>
      <c r="I15" s="16">
        <f>J14</f>
        <v>42622.106944444422</v>
      </c>
      <c r="J15" s="16">
        <f t="shared" si="0"/>
        <v>42622.235416666641</v>
      </c>
      <c r="K15" s="16"/>
      <c r="L15" s="16" t="s">
        <v>514</v>
      </c>
      <c r="M15" s="23"/>
      <c r="N15" s="22"/>
    </row>
    <row r="16" spans="1:14" s="11" customFormat="1" outlineLevel="2" x14ac:dyDescent="0.2">
      <c r="A16" s="12"/>
      <c r="B16" s="23"/>
      <c r="C16" s="14" t="s">
        <v>79</v>
      </c>
      <c r="D16" s="29">
        <v>11</v>
      </c>
      <c r="E16" s="17" t="s">
        <v>28</v>
      </c>
      <c r="F16" s="17" t="s">
        <v>126</v>
      </c>
      <c r="G16" s="274" t="s">
        <v>716</v>
      </c>
      <c r="H16" s="15">
        <v>2.7777777777777779E-3</v>
      </c>
      <c r="I16" s="16">
        <f t="shared" si="2"/>
        <v>42622.235416666641</v>
      </c>
      <c r="J16" s="16">
        <f t="shared" si="0"/>
        <v>42622.238194444421</v>
      </c>
      <c r="K16" s="16"/>
      <c r="L16" s="16"/>
      <c r="M16" s="23"/>
      <c r="N16" s="22"/>
    </row>
    <row r="17" spans="1:14" s="11" customFormat="1" outlineLevel="2" x14ac:dyDescent="0.2">
      <c r="A17" s="12"/>
      <c r="B17" s="23"/>
      <c r="C17" s="14" t="s">
        <v>80</v>
      </c>
      <c r="D17" s="29">
        <v>12</v>
      </c>
      <c r="E17" s="17" t="s">
        <v>28</v>
      </c>
      <c r="F17" s="17" t="s">
        <v>126</v>
      </c>
      <c r="G17" s="274" t="s">
        <v>716</v>
      </c>
      <c r="H17" s="15">
        <v>3.472222222222222E-3</v>
      </c>
      <c r="I17" s="16">
        <f>J16</f>
        <v>42622.238194444421</v>
      </c>
      <c r="J17" s="16">
        <f t="shared" si="0"/>
        <v>42622.24166666664</v>
      </c>
      <c r="K17" s="16"/>
      <c r="L17" s="16"/>
      <c r="M17" s="23"/>
      <c r="N17" s="22"/>
    </row>
    <row r="18" spans="1:14" s="11" customFormat="1" outlineLevel="2" x14ac:dyDescent="0.2">
      <c r="A18" s="12"/>
      <c r="B18" s="23"/>
      <c r="C18" s="14" t="s">
        <v>81</v>
      </c>
      <c r="D18" s="29">
        <v>13</v>
      </c>
      <c r="E18" s="17" t="s">
        <v>28</v>
      </c>
      <c r="F18" s="17" t="s">
        <v>126</v>
      </c>
      <c r="G18" s="274" t="s">
        <v>716</v>
      </c>
      <c r="H18" s="15">
        <v>6.9444444444444447E-4</v>
      </c>
      <c r="I18" s="16">
        <f t="shared" si="2"/>
        <v>42622.24166666664</v>
      </c>
      <c r="J18" s="16">
        <f t="shared" si="0"/>
        <v>42622.242361111086</v>
      </c>
      <c r="K18" s="16"/>
      <c r="L18" s="16" t="s">
        <v>1107</v>
      </c>
      <c r="M18" s="23"/>
      <c r="N18" s="22"/>
    </row>
    <row r="19" spans="1:14" s="11" customFormat="1" ht="25.5" outlineLevel="2" x14ac:dyDescent="0.2">
      <c r="A19" s="12"/>
      <c r="B19" s="172"/>
      <c r="C19" s="197" t="s">
        <v>953</v>
      </c>
      <c r="D19" s="182">
        <v>14</v>
      </c>
      <c r="E19" s="193" t="s">
        <v>155</v>
      </c>
      <c r="F19" s="193" t="s">
        <v>938</v>
      </c>
      <c r="G19" s="274" t="s">
        <v>716</v>
      </c>
      <c r="H19" s="176">
        <v>3.6805555555555557E-2</v>
      </c>
      <c r="I19" s="177">
        <f>J18</f>
        <v>42622.242361111086</v>
      </c>
      <c r="J19" s="177">
        <f t="shared" ref="J19" si="7">I19+H19</f>
        <v>42622.279166666645</v>
      </c>
      <c r="K19" s="177"/>
      <c r="L19" s="208" t="s">
        <v>933</v>
      </c>
      <c r="M19" s="172"/>
      <c r="N19" s="173"/>
    </row>
    <row r="20" spans="1:14" s="4" customFormat="1" outlineLevel="2" x14ac:dyDescent="0.2">
      <c r="A20" s="12"/>
      <c r="B20" s="13" t="s">
        <v>121</v>
      </c>
      <c r="C20" s="25"/>
      <c r="D20" s="30"/>
      <c r="E20" s="27"/>
      <c r="F20" s="27"/>
      <c r="G20" s="24"/>
      <c r="H20" s="24"/>
      <c r="I20" s="90" t="e">
        <f>#REF!</f>
        <v>#REF!</v>
      </c>
      <c r="J20" s="90" t="e">
        <f t="shared" si="0"/>
        <v>#REF!</v>
      </c>
      <c r="K20" s="26"/>
      <c r="L20" s="92"/>
      <c r="M20" s="23"/>
      <c r="N20" s="22"/>
    </row>
    <row r="21" spans="1:14" s="4" customFormat="1" outlineLevel="2" x14ac:dyDescent="0.2">
      <c r="A21" s="12"/>
      <c r="B21" s="13"/>
      <c r="C21" s="28" t="s">
        <v>84</v>
      </c>
      <c r="D21" s="29"/>
      <c r="E21" s="17"/>
      <c r="F21" s="17"/>
      <c r="G21" s="274" t="s">
        <v>716</v>
      </c>
      <c r="I21" s="114"/>
      <c r="J21" s="16"/>
      <c r="K21" s="16"/>
      <c r="L21" s="14"/>
      <c r="M21" s="23"/>
      <c r="N21" s="22"/>
    </row>
    <row r="22" spans="1:14" s="4" customFormat="1" outlineLevel="2" x14ac:dyDescent="0.2">
      <c r="A22" s="12"/>
      <c r="B22" s="13"/>
      <c r="C22" s="14" t="s">
        <v>85</v>
      </c>
      <c r="D22" s="29">
        <v>21</v>
      </c>
      <c r="E22" s="17" t="s">
        <v>28</v>
      </c>
      <c r="F22" s="17" t="s">
        <v>126</v>
      </c>
      <c r="G22" s="274" t="s">
        <v>716</v>
      </c>
      <c r="H22" s="15">
        <v>6.9444444444444441E-3</v>
      </c>
      <c r="I22" s="16">
        <v>42621.625</v>
      </c>
      <c r="J22" s="16">
        <f t="shared" ref="J22:J27" si="8">I22+H22</f>
        <v>42621.631944444445</v>
      </c>
      <c r="K22" s="16"/>
      <c r="L22" s="14" t="s">
        <v>1108</v>
      </c>
      <c r="M22" s="23"/>
      <c r="N22" s="22"/>
    </row>
    <row r="23" spans="1:14" s="4" customFormat="1" outlineLevel="2" x14ac:dyDescent="0.2">
      <c r="A23" s="12"/>
      <c r="B23" s="13"/>
      <c r="C23" s="14" t="s">
        <v>86</v>
      </c>
      <c r="D23" s="29">
        <v>22</v>
      </c>
      <c r="E23" s="17" t="s">
        <v>28</v>
      </c>
      <c r="F23" s="17" t="s">
        <v>126</v>
      </c>
      <c r="G23" s="274" t="s">
        <v>716</v>
      </c>
      <c r="H23" s="15">
        <v>6.9444444444444441E-3</v>
      </c>
      <c r="I23" s="16">
        <f t="shared" ref="I23:I26" si="9">J22</f>
        <v>42621.631944444445</v>
      </c>
      <c r="J23" s="16">
        <f t="shared" si="8"/>
        <v>42621.638888888891</v>
      </c>
      <c r="K23" s="16"/>
      <c r="L23" s="197" t="s">
        <v>1108</v>
      </c>
      <c r="M23" s="23"/>
      <c r="N23" s="22"/>
    </row>
    <row r="24" spans="1:14" s="4" customFormat="1" outlineLevel="2" x14ac:dyDescent="0.2">
      <c r="A24" s="12"/>
      <c r="B24" s="13"/>
      <c r="C24" s="14" t="s">
        <v>87</v>
      </c>
      <c r="D24" s="29">
        <v>23</v>
      </c>
      <c r="E24" s="17" t="s">
        <v>28</v>
      </c>
      <c r="F24" s="17" t="s">
        <v>126</v>
      </c>
      <c r="G24" s="274" t="s">
        <v>716</v>
      </c>
      <c r="H24" s="15">
        <v>6.9444444444444441E-3</v>
      </c>
      <c r="I24" s="16">
        <f t="shared" si="9"/>
        <v>42621.638888888891</v>
      </c>
      <c r="J24" s="16">
        <f t="shared" si="8"/>
        <v>42621.645833333336</v>
      </c>
      <c r="K24" s="16"/>
      <c r="L24" s="197" t="s">
        <v>1108</v>
      </c>
      <c r="M24" s="23"/>
      <c r="N24" s="22"/>
    </row>
    <row r="25" spans="1:14" s="4" customFormat="1" outlineLevel="2" x14ac:dyDescent="0.2">
      <c r="A25" s="12"/>
      <c r="B25" s="13"/>
      <c r="C25" s="14" t="s">
        <v>88</v>
      </c>
      <c r="D25" s="29">
        <v>24</v>
      </c>
      <c r="E25" s="17" t="s">
        <v>28</v>
      </c>
      <c r="F25" s="17" t="s">
        <v>126</v>
      </c>
      <c r="G25" s="274" t="s">
        <v>716</v>
      </c>
      <c r="H25" s="15">
        <v>6.9444444444444441E-3</v>
      </c>
      <c r="I25" s="16">
        <f t="shared" si="9"/>
        <v>42621.645833333336</v>
      </c>
      <c r="J25" s="16">
        <f t="shared" si="8"/>
        <v>42621.652777777781</v>
      </c>
      <c r="K25" s="16"/>
      <c r="L25" s="197" t="s">
        <v>1108</v>
      </c>
      <c r="M25" s="23"/>
      <c r="N25" s="22"/>
    </row>
    <row r="26" spans="1:14" s="4" customFormat="1" outlineLevel="2" x14ac:dyDescent="0.2">
      <c r="A26" s="12"/>
      <c r="B26" s="13"/>
      <c r="C26" s="14" t="s">
        <v>89</v>
      </c>
      <c r="D26" s="29">
        <v>25</v>
      </c>
      <c r="E26" s="17" t="s">
        <v>28</v>
      </c>
      <c r="F26" s="17" t="s">
        <v>126</v>
      </c>
      <c r="G26" s="274" t="s">
        <v>716</v>
      </c>
      <c r="H26" s="15">
        <v>6.9444444444444441E-3</v>
      </c>
      <c r="I26" s="16">
        <f t="shared" si="9"/>
        <v>42621.652777777781</v>
      </c>
      <c r="J26" s="16">
        <f t="shared" si="8"/>
        <v>42621.659722222226</v>
      </c>
      <c r="K26" s="16"/>
      <c r="L26" s="197" t="s">
        <v>1108</v>
      </c>
      <c r="M26" s="23"/>
      <c r="N26" s="22"/>
    </row>
    <row r="27" spans="1:14" s="4" customFormat="1" outlineLevel="2" x14ac:dyDescent="0.2">
      <c r="A27" s="12"/>
      <c r="B27" s="13"/>
      <c r="C27" s="14" t="s">
        <v>90</v>
      </c>
      <c r="D27" s="29">
        <v>26</v>
      </c>
      <c r="E27" s="17" t="s">
        <v>28</v>
      </c>
      <c r="F27" s="17" t="s">
        <v>126</v>
      </c>
      <c r="G27" s="274" t="s">
        <v>716</v>
      </c>
      <c r="H27" s="15">
        <v>1.3888888888888889E-3</v>
      </c>
      <c r="I27" s="16">
        <f>J19+0.01</f>
        <v>42622.289166666647</v>
      </c>
      <c r="J27" s="16">
        <f t="shared" si="8"/>
        <v>42622.290555555534</v>
      </c>
      <c r="K27" s="16"/>
      <c r="L27" s="197" t="s">
        <v>1108</v>
      </c>
      <c r="M27" s="23"/>
      <c r="N27" s="22"/>
    </row>
    <row r="28" spans="1:14" s="4" customFormat="1" outlineLevel="2" x14ac:dyDescent="0.2">
      <c r="A28" s="12"/>
      <c r="B28" s="13"/>
      <c r="C28" s="28" t="s">
        <v>91</v>
      </c>
      <c r="D28" s="29"/>
      <c r="E28" s="17"/>
      <c r="F28" s="17"/>
      <c r="G28" s="274" t="s">
        <v>716</v>
      </c>
      <c r="H28" s="15"/>
      <c r="I28" s="16"/>
      <c r="J28" s="16"/>
      <c r="K28" s="16"/>
      <c r="L28" s="32"/>
      <c r="M28" s="23"/>
      <c r="N28" s="22"/>
    </row>
    <row r="29" spans="1:14" s="4" customFormat="1" outlineLevel="2" x14ac:dyDescent="0.2">
      <c r="A29" s="12"/>
      <c r="B29" s="13"/>
      <c r="C29" s="14" t="s">
        <v>92</v>
      </c>
      <c r="D29" s="29">
        <v>31</v>
      </c>
      <c r="E29" s="17" t="s">
        <v>28</v>
      </c>
      <c r="F29" s="17" t="s">
        <v>126</v>
      </c>
      <c r="G29" s="274" t="s">
        <v>716</v>
      </c>
      <c r="H29" s="15">
        <v>0</v>
      </c>
      <c r="I29" s="16">
        <f>J27</f>
        <v>42622.290555555534</v>
      </c>
      <c r="J29" s="16">
        <f t="shared" ref="J29:J52" si="10">I29+H29</f>
        <v>42622.290555555534</v>
      </c>
      <c r="K29" s="16"/>
      <c r="L29" s="197" t="s">
        <v>1108</v>
      </c>
      <c r="M29" s="23"/>
      <c r="N29" s="22"/>
    </row>
    <row r="30" spans="1:14" s="4" customFormat="1" outlineLevel="2" x14ac:dyDescent="0.2">
      <c r="A30" s="12"/>
      <c r="B30" s="13"/>
      <c r="C30" s="14" t="s">
        <v>93</v>
      </c>
      <c r="D30" s="29">
        <v>32</v>
      </c>
      <c r="E30" s="17" t="s">
        <v>28</v>
      </c>
      <c r="F30" s="17" t="s">
        <v>126</v>
      </c>
      <c r="G30" s="274" t="s">
        <v>716</v>
      </c>
      <c r="H30" s="15">
        <v>2.0833333333333332E-2</v>
      </c>
      <c r="I30" s="16">
        <f>J29</f>
        <v>42622.290555555534</v>
      </c>
      <c r="J30" s="16">
        <f t="shared" si="10"/>
        <v>42622.311388888869</v>
      </c>
      <c r="K30" s="16"/>
      <c r="L30" s="162"/>
      <c r="M30" s="23"/>
      <c r="N30" s="22"/>
    </row>
    <row r="31" spans="1:14" s="4" customFormat="1" outlineLevel="2" x14ac:dyDescent="0.2">
      <c r="A31" s="12"/>
      <c r="B31" s="13"/>
      <c r="C31" s="14" t="s">
        <v>94</v>
      </c>
      <c r="D31" s="29">
        <v>33</v>
      </c>
      <c r="E31" s="17" t="s">
        <v>28</v>
      </c>
      <c r="F31" s="17" t="s">
        <v>126</v>
      </c>
      <c r="G31" s="274" t="s">
        <v>716</v>
      </c>
      <c r="H31" s="15">
        <v>9.1666666666666674E-2</v>
      </c>
      <c r="I31" s="16">
        <f>J30</f>
        <v>42622.311388888869</v>
      </c>
      <c r="J31" s="16">
        <f t="shared" si="10"/>
        <v>42622.403055555536</v>
      </c>
      <c r="K31" s="16"/>
      <c r="L31" s="162"/>
      <c r="M31" s="23"/>
      <c r="N31" s="22"/>
    </row>
    <row r="32" spans="1:14" s="4" customFormat="1" outlineLevel="2" x14ac:dyDescent="0.2">
      <c r="A32" s="12"/>
      <c r="B32" s="13"/>
      <c r="C32" s="14" t="s">
        <v>95</v>
      </c>
      <c r="D32" s="29">
        <v>40</v>
      </c>
      <c r="E32" s="17" t="s">
        <v>28</v>
      </c>
      <c r="F32" s="17" t="s">
        <v>126</v>
      </c>
      <c r="G32" s="274" t="s">
        <v>716</v>
      </c>
      <c r="H32" s="15">
        <v>6.9444444444444441E-3</v>
      </c>
      <c r="I32" s="16">
        <f>J30</f>
        <v>42622.311388888869</v>
      </c>
      <c r="J32" s="16">
        <f t="shared" si="10"/>
        <v>42622.318333333315</v>
      </c>
      <c r="K32" s="16"/>
      <c r="L32" s="14" t="s">
        <v>793</v>
      </c>
      <c r="M32" s="23"/>
      <c r="N32" s="22"/>
    </row>
    <row r="33" spans="1:14" s="4" customFormat="1" outlineLevel="2" x14ac:dyDescent="0.2">
      <c r="A33" s="12"/>
      <c r="B33" s="13" t="s">
        <v>104</v>
      </c>
      <c r="C33" s="25"/>
      <c r="D33" s="30"/>
      <c r="E33" s="27"/>
      <c r="F33" s="27"/>
      <c r="G33" s="24"/>
      <c r="H33" s="24"/>
      <c r="I33" s="90">
        <f t="shared" ref="I33" si="11">J31</f>
        <v>42622.403055555536</v>
      </c>
      <c r="J33" s="90">
        <f t="shared" si="10"/>
        <v>42622.403055555536</v>
      </c>
      <c r="K33" s="26"/>
      <c r="L33" s="25"/>
      <c r="M33" s="23"/>
      <c r="N33" s="22"/>
    </row>
    <row r="34" spans="1:14" s="4" customFormat="1" outlineLevel="2" x14ac:dyDescent="0.2">
      <c r="A34" s="12"/>
      <c r="B34" s="13"/>
      <c r="C34" s="115" t="s">
        <v>96</v>
      </c>
      <c r="D34" s="116">
        <v>50</v>
      </c>
      <c r="E34" s="117" t="s">
        <v>28</v>
      </c>
      <c r="F34" s="117" t="s">
        <v>126</v>
      </c>
      <c r="G34" s="274" t="s">
        <v>716</v>
      </c>
      <c r="H34" s="118"/>
      <c r="I34" s="114">
        <f>I31</f>
        <v>42622.311388888869</v>
      </c>
      <c r="J34" s="114">
        <f t="shared" si="10"/>
        <v>42622.311388888869</v>
      </c>
      <c r="K34" s="114"/>
      <c r="L34" s="115" t="s">
        <v>794</v>
      </c>
      <c r="M34" s="23"/>
      <c r="N34" s="22"/>
    </row>
    <row r="35" spans="1:14" s="4" customFormat="1" outlineLevel="2" x14ac:dyDescent="0.2">
      <c r="A35" s="12"/>
      <c r="B35" s="13"/>
      <c r="C35" s="115" t="s">
        <v>97</v>
      </c>
      <c r="D35" s="116">
        <v>51</v>
      </c>
      <c r="E35" s="117" t="s">
        <v>28</v>
      </c>
      <c r="F35" s="117" t="s">
        <v>126</v>
      </c>
      <c r="G35" s="274" t="s">
        <v>716</v>
      </c>
      <c r="H35" s="118">
        <v>6.9444444444444441E-3</v>
      </c>
      <c r="I35" s="114">
        <f>J34</f>
        <v>42622.311388888869</v>
      </c>
      <c r="J35" s="114">
        <f t="shared" si="10"/>
        <v>42622.318333333315</v>
      </c>
      <c r="K35" s="114"/>
      <c r="L35" s="162"/>
      <c r="M35" s="23"/>
      <c r="N35" s="22"/>
    </row>
    <row r="36" spans="1:14" s="4" customFormat="1" outlineLevel="2" x14ac:dyDescent="0.2">
      <c r="A36" s="12"/>
      <c r="B36" s="13"/>
      <c r="C36" s="115" t="s">
        <v>98</v>
      </c>
      <c r="D36" s="116">
        <v>52</v>
      </c>
      <c r="E36" s="117" t="s">
        <v>28</v>
      </c>
      <c r="F36" s="117" t="s">
        <v>126</v>
      </c>
      <c r="G36" s="274" t="s">
        <v>716</v>
      </c>
      <c r="H36" s="203">
        <v>6.9444444444444441E-3</v>
      </c>
      <c r="I36" s="187">
        <f>J35</f>
        <v>42622.318333333315</v>
      </c>
      <c r="J36" s="187">
        <f t="shared" si="10"/>
        <v>42622.32527777776</v>
      </c>
      <c r="K36" s="114"/>
      <c r="L36" s="115" t="s">
        <v>794</v>
      </c>
      <c r="M36" s="23"/>
      <c r="N36" s="22"/>
    </row>
    <row r="37" spans="1:14" s="4" customFormat="1" outlineLevel="2" x14ac:dyDescent="0.2">
      <c r="A37" s="12"/>
      <c r="B37" s="13"/>
      <c r="C37" s="115" t="s">
        <v>99</v>
      </c>
      <c r="D37" s="116">
        <v>53</v>
      </c>
      <c r="E37" s="117" t="s">
        <v>28</v>
      </c>
      <c r="F37" s="117" t="s">
        <v>126</v>
      </c>
      <c r="G37" s="274" t="s">
        <v>716</v>
      </c>
      <c r="H37" s="118">
        <v>1.3888888888888888E-2</v>
      </c>
      <c r="I37" s="114">
        <f>J36</f>
        <v>42622.32527777776</v>
      </c>
      <c r="J37" s="114">
        <f t="shared" si="10"/>
        <v>42622.33916666665</v>
      </c>
      <c r="K37" s="114"/>
      <c r="L37" s="115" t="s">
        <v>794</v>
      </c>
      <c r="M37" s="23"/>
      <c r="N37" s="22"/>
    </row>
    <row r="38" spans="1:14" s="4" customFormat="1" outlineLevel="2" x14ac:dyDescent="0.2">
      <c r="A38" s="12"/>
      <c r="B38" s="13"/>
      <c r="C38" s="115" t="s">
        <v>100</v>
      </c>
      <c r="D38" s="116">
        <v>54</v>
      </c>
      <c r="E38" s="117" t="s">
        <v>28</v>
      </c>
      <c r="F38" s="117" t="s">
        <v>126</v>
      </c>
      <c r="G38" s="274" t="s">
        <v>716</v>
      </c>
      <c r="H38" s="118">
        <v>3.472222222222222E-3</v>
      </c>
      <c r="I38" s="114">
        <f t="shared" ref="I38" si="12">J37</f>
        <v>42622.33916666665</v>
      </c>
      <c r="J38" s="114">
        <f t="shared" si="10"/>
        <v>42622.342638888869</v>
      </c>
      <c r="K38" s="114"/>
      <c r="L38" s="115" t="s">
        <v>794</v>
      </c>
      <c r="M38" s="23"/>
      <c r="N38" s="22"/>
    </row>
    <row r="39" spans="1:14" s="4" customFormat="1" outlineLevel="2" x14ac:dyDescent="0.2">
      <c r="A39" s="12"/>
      <c r="B39" s="13"/>
      <c r="C39" s="115" t="s">
        <v>101</v>
      </c>
      <c r="D39" s="116">
        <v>55</v>
      </c>
      <c r="E39" s="117" t="s">
        <v>28</v>
      </c>
      <c r="F39" s="117" t="s">
        <v>126</v>
      </c>
      <c r="G39" s="274" t="s">
        <v>716</v>
      </c>
      <c r="H39" s="118">
        <v>0.12847222222222224</v>
      </c>
      <c r="I39" s="114">
        <f>J38</f>
        <v>42622.342638888869</v>
      </c>
      <c r="J39" s="114">
        <f t="shared" si="10"/>
        <v>42622.471111111088</v>
      </c>
      <c r="K39" s="114"/>
      <c r="L39" s="162"/>
      <c r="M39" s="23"/>
      <c r="N39" s="22"/>
    </row>
    <row r="40" spans="1:14" s="4" customFormat="1" outlineLevel="2" x14ac:dyDescent="0.2">
      <c r="A40" s="12"/>
      <c r="B40" s="13"/>
      <c r="C40" s="14" t="s">
        <v>102</v>
      </c>
      <c r="D40" s="29">
        <v>56</v>
      </c>
      <c r="E40" s="17" t="s">
        <v>28</v>
      </c>
      <c r="F40" s="193" t="s">
        <v>126</v>
      </c>
      <c r="G40" s="274" t="s">
        <v>716</v>
      </c>
      <c r="H40" s="15">
        <v>9.7222222222222224E-3</v>
      </c>
      <c r="I40" s="16">
        <f>J39</f>
        <v>42622.471111111088</v>
      </c>
      <c r="J40" s="16">
        <f t="shared" si="10"/>
        <v>42622.480833333313</v>
      </c>
      <c r="K40" s="16"/>
      <c r="L40" s="14"/>
      <c r="M40" s="23"/>
      <c r="N40" s="22"/>
    </row>
    <row r="41" spans="1:14" s="4" customFormat="1" outlineLevel="2" x14ac:dyDescent="0.2">
      <c r="A41" s="12"/>
      <c r="B41" s="13"/>
      <c r="C41" s="14" t="s">
        <v>103</v>
      </c>
      <c r="D41" s="29">
        <v>57</v>
      </c>
      <c r="E41" s="17" t="s">
        <v>28</v>
      </c>
      <c r="F41" s="193" t="s">
        <v>126</v>
      </c>
      <c r="G41" s="274" t="s">
        <v>716</v>
      </c>
      <c r="H41" s="15">
        <v>4.1666666666666664E-2</v>
      </c>
      <c r="I41" s="16">
        <f>J40</f>
        <v>42622.480833333313</v>
      </c>
      <c r="J41" s="16">
        <f t="shared" si="10"/>
        <v>42622.522499999977</v>
      </c>
      <c r="K41" s="16"/>
      <c r="L41" s="14" t="s">
        <v>889</v>
      </c>
      <c r="M41" s="23"/>
      <c r="N41" s="22"/>
    </row>
    <row r="42" spans="1:14" s="124" customFormat="1" ht="51" outlineLevel="2" x14ac:dyDescent="0.2">
      <c r="A42" s="12"/>
      <c r="B42" s="13"/>
      <c r="C42" s="66" t="s">
        <v>801</v>
      </c>
      <c r="D42" s="120">
        <v>58</v>
      </c>
      <c r="E42" s="65" t="s">
        <v>28</v>
      </c>
      <c r="F42" s="193" t="s">
        <v>126</v>
      </c>
      <c r="G42" s="274" t="s">
        <v>716</v>
      </c>
      <c r="H42" s="67">
        <v>0</v>
      </c>
      <c r="I42" s="68">
        <f>J41</f>
        <v>42622.522499999977</v>
      </c>
      <c r="J42" s="68">
        <f t="shared" si="10"/>
        <v>42622.522499999977</v>
      </c>
      <c r="K42" s="68"/>
      <c r="L42" s="66" t="s">
        <v>802</v>
      </c>
      <c r="M42" s="129"/>
      <c r="N42" s="128"/>
    </row>
    <row r="43" spans="1:14" s="124" customFormat="1" outlineLevel="2" x14ac:dyDescent="0.2">
      <c r="A43" s="12"/>
      <c r="B43" s="13"/>
      <c r="C43" s="197" t="s">
        <v>1111</v>
      </c>
      <c r="D43" s="120">
        <v>58</v>
      </c>
      <c r="E43" s="185" t="s">
        <v>28</v>
      </c>
      <c r="F43" s="193" t="s">
        <v>126</v>
      </c>
      <c r="G43" s="274" t="s">
        <v>716</v>
      </c>
      <c r="H43" s="275"/>
      <c r="I43" s="276">
        <f>J42</f>
        <v>42622.522499999977</v>
      </c>
      <c r="J43" s="276">
        <f>I43+H43</f>
        <v>42622.522499999977</v>
      </c>
      <c r="K43" s="276"/>
      <c r="L43" s="277" t="s">
        <v>1112</v>
      </c>
      <c r="M43" s="172"/>
      <c r="N43" s="173"/>
    </row>
    <row r="44" spans="1:14" s="4" customFormat="1" ht="63.75" outlineLevel="2" x14ac:dyDescent="0.2">
      <c r="A44" s="12"/>
      <c r="B44" s="13"/>
      <c r="C44" s="14" t="s">
        <v>1099</v>
      </c>
      <c r="D44" s="29">
        <v>59</v>
      </c>
      <c r="E44" s="17" t="s">
        <v>28</v>
      </c>
      <c r="F44" s="193" t="s">
        <v>126</v>
      </c>
      <c r="G44" s="274" t="s">
        <v>716</v>
      </c>
      <c r="H44" s="15">
        <v>2.0833333333333332E-2</v>
      </c>
      <c r="I44" s="16">
        <f>J42</f>
        <v>42622.522499999977</v>
      </c>
      <c r="J44" s="16">
        <f t="shared" si="10"/>
        <v>42622.543333333313</v>
      </c>
      <c r="K44" s="16"/>
      <c r="L44" s="14" t="s">
        <v>1110</v>
      </c>
      <c r="M44" s="23"/>
      <c r="N44" s="22"/>
    </row>
    <row r="45" spans="1:14" s="124" customFormat="1" ht="63.75" outlineLevel="2" x14ac:dyDescent="0.2">
      <c r="A45" s="12"/>
      <c r="B45" s="13"/>
      <c r="C45" s="197" t="s">
        <v>1100</v>
      </c>
      <c r="D45" s="29">
        <v>60</v>
      </c>
      <c r="E45" s="17" t="s">
        <v>28</v>
      </c>
      <c r="F45" s="193" t="s">
        <v>126</v>
      </c>
      <c r="G45" s="274" t="s">
        <v>716</v>
      </c>
      <c r="H45" s="176">
        <v>2.0833333333333332E-2</v>
      </c>
      <c r="I45" s="68">
        <f>J42</f>
        <v>42622.522499999977</v>
      </c>
      <c r="J45" s="16">
        <f t="shared" si="10"/>
        <v>42622.543333333313</v>
      </c>
      <c r="K45" s="66"/>
      <c r="L45" s="197" t="s">
        <v>1110</v>
      </c>
      <c r="M45" s="129"/>
      <c r="N45" s="128"/>
    </row>
    <row r="46" spans="1:14" s="124" customFormat="1" ht="63.75" outlineLevel="2" x14ac:dyDescent="0.2">
      <c r="A46" s="12"/>
      <c r="B46" s="13"/>
      <c r="C46" s="197" t="s">
        <v>1101</v>
      </c>
      <c r="D46" s="182">
        <v>59</v>
      </c>
      <c r="E46" s="193" t="s">
        <v>28</v>
      </c>
      <c r="F46" s="193" t="s">
        <v>126</v>
      </c>
      <c r="G46" s="274" t="s">
        <v>716</v>
      </c>
      <c r="H46" s="176">
        <v>2.0833333333333332E-2</v>
      </c>
      <c r="I46" s="177">
        <f>J42</f>
        <v>42622.522499999977</v>
      </c>
      <c r="J46" s="177">
        <f t="shared" si="10"/>
        <v>42622.543333333313</v>
      </c>
      <c r="K46" s="177"/>
      <c r="L46" s="197" t="s">
        <v>1110</v>
      </c>
      <c r="M46" s="172"/>
      <c r="N46" s="173"/>
    </row>
    <row r="47" spans="1:14" s="124" customFormat="1" ht="63.75" outlineLevel="2" x14ac:dyDescent="0.2">
      <c r="A47" s="12"/>
      <c r="B47" s="13"/>
      <c r="C47" s="197" t="s">
        <v>1102</v>
      </c>
      <c r="D47" s="182">
        <v>60</v>
      </c>
      <c r="E47" s="193" t="s">
        <v>28</v>
      </c>
      <c r="F47" s="193" t="s">
        <v>126</v>
      </c>
      <c r="G47" s="274" t="s">
        <v>716</v>
      </c>
      <c r="H47" s="176">
        <v>2.0833333333333332E-2</v>
      </c>
      <c r="I47" s="68">
        <f>J42</f>
        <v>42622.522499999977</v>
      </c>
      <c r="J47" s="177">
        <f t="shared" si="10"/>
        <v>42622.543333333313</v>
      </c>
      <c r="K47" s="66"/>
      <c r="L47" s="197" t="s">
        <v>1110</v>
      </c>
      <c r="M47" s="172"/>
      <c r="N47" s="173"/>
    </row>
    <row r="48" spans="1:14" s="124" customFormat="1" ht="63.75" outlineLevel="2" x14ac:dyDescent="0.2">
      <c r="A48" s="12"/>
      <c r="B48" s="13"/>
      <c r="C48" s="197" t="s">
        <v>1103</v>
      </c>
      <c r="D48" s="182">
        <v>59</v>
      </c>
      <c r="E48" s="193" t="s">
        <v>28</v>
      </c>
      <c r="F48" s="193" t="s">
        <v>126</v>
      </c>
      <c r="G48" s="274" t="s">
        <v>716</v>
      </c>
      <c r="H48" s="176">
        <v>2.0833333333333332E-2</v>
      </c>
      <c r="I48" s="177">
        <f>J42</f>
        <v>42622.522499999977</v>
      </c>
      <c r="J48" s="177">
        <f t="shared" si="10"/>
        <v>42622.543333333313</v>
      </c>
      <c r="K48" s="177"/>
      <c r="L48" s="197" t="s">
        <v>1110</v>
      </c>
      <c r="M48" s="172"/>
      <c r="N48" s="173"/>
    </row>
    <row r="49" spans="1:14" s="124" customFormat="1" ht="63.75" outlineLevel="2" x14ac:dyDescent="0.2">
      <c r="A49" s="12"/>
      <c r="B49" s="13"/>
      <c r="C49" s="197" t="s">
        <v>1104</v>
      </c>
      <c r="D49" s="182">
        <v>60</v>
      </c>
      <c r="E49" s="193" t="s">
        <v>28</v>
      </c>
      <c r="F49" s="193" t="s">
        <v>126</v>
      </c>
      <c r="G49" s="274" t="s">
        <v>716</v>
      </c>
      <c r="H49" s="176">
        <v>2.0833333333333332E-2</v>
      </c>
      <c r="I49" s="68">
        <f>J42</f>
        <v>42622.522499999977</v>
      </c>
      <c r="J49" s="177">
        <f t="shared" si="10"/>
        <v>42622.543333333313</v>
      </c>
      <c r="K49" s="66"/>
      <c r="L49" s="197" t="s">
        <v>1110</v>
      </c>
      <c r="M49" s="172"/>
      <c r="N49" s="173"/>
    </row>
    <row r="50" spans="1:14" s="124" customFormat="1" ht="63.75" outlineLevel="2" x14ac:dyDescent="0.2">
      <c r="A50" s="12"/>
      <c r="B50" s="13"/>
      <c r="C50" s="197" t="s">
        <v>1105</v>
      </c>
      <c r="D50" s="182">
        <v>59</v>
      </c>
      <c r="E50" s="193" t="s">
        <v>28</v>
      </c>
      <c r="F50" s="193" t="s">
        <v>126</v>
      </c>
      <c r="G50" s="274" t="s">
        <v>716</v>
      </c>
      <c r="H50" s="176">
        <v>2.0833333333333332E-2</v>
      </c>
      <c r="I50" s="177">
        <f>J45</f>
        <v>42622.543333333313</v>
      </c>
      <c r="J50" s="177">
        <f t="shared" ref="J50:J51" si="13">I50+H50</f>
        <v>42622.564166666649</v>
      </c>
      <c r="K50" s="177"/>
      <c r="L50" s="197" t="s">
        <v>1110</v>
      </c>
      <c r="M50" s="172"/>
      <c r="N50" s="173"/>
    </row>
    <row r="51" spans="1:14" s="124" customFormat="1" ht="63.75" outlineLevel="2" x14ac:dyDescent="0.2">
      <c r="A51" s="12"/>
      <c r="B51" s="13"/>
      <c r="C51" s="197" t="s">
        <v>1106</v>
      </c>
      <c r="D51" s="182">
        <v>60</v>
      </c>
      <c r="E51" s="193" t="s">
        <v>28</v>
      </c>
      <c r="F51" s="193" t="s">
        <v>126</v>
      </c>
      <c r="G51" s="274" t="s">
        <v>716</v>
      </c>
      <c r="H51" s="176">
        <v>2.7777777777777776E-2</v>
      </c>
      <c r="I51" s="68">
        <f>J45</f>
        <v>42622.543333333313</v>
      </c>
      <c r="J51" s="177">
        <f t="shared" si="13"/>
        <v>42622.571111111094</v>
      </c>
      <c r="K51" s="66"/>
      <c r="L51" s="197" t="s">
        <v>1110</v>
      </c>
      <c r="M51" s="172"/>
      <c r="N51" s="173"/>
    </row>
    <row r="52" spans="1:14" s="4" customFormat="1" outlineLevel="2" x14ac:dyDescent="0.2">
      <c r="A52" s="12"/>
      <c r="B52" s="13" t="s">
        <v>120</v>
      </c>
      <c r="C52" s="25"/>
      <c r="D52" s="30"/>
      <c r="E52" s="27"/>
      <c r="F52" s="27"/>
      <c r="G52" s="24"/>
      <c r="H52" s="24"/>
      <c r="I52" s="90">
        <f>J41</f>
        <v>42622.522499999977</v>
      </c>
      <c r="J52" s="90">
        <f t="shared" si="10"/>
        <v>42622.522499999977</v>
      </c>
      <c r="K52" s="26"/>
      <c r="L52" s="25"/>
      <c r="M52" s="23"/>
      <c r="N52" s="22"/>
    </row>
    <row r="53" spans="1:14" s="11" customFormat="1" outlineLevel="2" x14ac:dyDescent="0.2">
      <c r="A53" s="12"/>
      <c r="B53" s="23"/>
      <c r="C53" s="28" t="s">
        <v>105</v>
      </c>
      <c r="D53" s="29"/>
      <c r="E53" s="17"/>
      <c r="F53" s="17"/>
      <c r="G53" s="274" t="s">
        <v>716</v>
      </c>
      <c r="H53" s="14"/>
      <c r="I53" s="114"/>
      <c r="J53" s="16"/>
      <c r="K53" s="14"/>
      <c r="L53" s="14"/>
      <c r="M53" s="23"/>
      <c r="N53" s="22"/>
    </row>
    <row r="54" spans="1:14" s="11" customFormat="1" outlineLevel="2" x14ac:dyDescent="0.2">
      <c r="A54" s="12"/>
      <c r="B54" s="172"/>
      <c r="C54" s="196" t="s">
        <v>954</v>
      </c>
      <c r="D54" s="182">
        <v>61</v>
      </c>
      <c r="E54" s="193" t="s">
        <v>155</v>
      </c>
      <c r="F54" s="193"/>
      <c r="G54" s="274" t="s">
        <v>716</v>
      </c>
      <c r="H54" s="176">
        <v>3.472222222222222E-3</v>
      </c>
      <c r="I54" s="177">
        <f>J47</f>
        <v>42622.543333333313</v>
      </c>
      <c r="J54" s="177">
        <f t="shared" ref="J54" si="14">I54+H54</f>
        <v>42622.546805555532</v>
      </c>
      <c r="K54" s="197"/>
      <c r="L54" s="197" t="s">
        <v>955</v>
      </c>
      <c r="M54" s="172"/>
      <c r="N54" s="173"/>
    </row>
    <row r="55" spans="1:14" s="11" customFormat="1" outlineLevel="2" x14ac:dyDescent="0.2">
      <c r="A55" s="12"/>
      <c r="B55" s="23"/>
      <c r="C55" s="14" t="s">
        <v>106</v>
      </c>
      <c r="D55" s="29">
        <v>62</v>
      </c>
      <c r="E55" s="17" t="s">
        <v>28</v>
      </c>
      <c r="F55" s="193" t="s">
        <v>126</v>
      </c>
      <c r="G55" s="274" t="s">
        <v>716</v>
      </c>
      <c r="H55" s="33">
        <v>1.3888888888888889E-3</v>
      </c>
      <c r="I55" s="16">
        <f>J54</f>
        <v>42622.546805555532</v>
      </c>
      <c r="J55" s="16">
        <f t="shared" ref="J55:J63" si="15">I55+H55</f>
        <v>42622.548194444418</v>
      </c>
      <c r="K55" s="14"/>
      <c r="L55" s="14"/>
      <c r="M55" s="23"/>
      <c r="N55" s="22"/>
    </row>
    <row r="56" spans="1:14" s="11" customFormat="1" outlineLevel="2" x14ac:dyDescent="0.2">
      <c r="A56" s="12"/>
      <c r="B56" s="23"/>
      <c r="C56" s="14" t="s">
        <v>107</v>
      </c>
      <c r="D56" s="29">
        <v>63</v>
      </c>
      <c r="E56" s="17" t="s">
        <v>28</v>
      </c>
      <c r="F56" s="193" t="s">
        <v>126</v>
      </c>
      <c r="G56" s="274" t="s">
        <v>716</v>
      </c>
      <c r="H56" s="33">
        <v>6.9444444444444441E-3</v>
      </c>
      <c r="I56" s="16">
        <f t="shared" ref="I56:I71" si="16">J55</f>
        <v>42622.548194444418</v>
      </c>
      <c r="J56" s="16">
        <f t="shared" si="15"/>
        <v>42622.555138888863</v>
      </c>
      <c r="K56" s="14"/>
      <c r="L56" s="14"/>
      <c r="M56" s="23"/>
      <c r="N56" s="22"/>
    </row>
    <row r="57" spans="1:14" s="11" customFormat="1" outlineLevel="2" x14ac:dyDescent="0.2">
      <c r="A57" s="12"/>
      <c r="B57" s="23"/>
      <c r="C57" s="14" t="s">
        <v>108</v>
      </c>
      <c r="D57" s="29">
        <v>64</v>
      </c>
      <c r="E57" s="17" t="s">
        <v>28</v>
      </c>
      <c r="F57" s="193" t="s">
        <v>126</v>
      </c>
      <c r="G57" s="274" t="s">
        <v>716</v>
      </c>
      <c r="H57" s="33">
        <v>3.472222222222222E-3</v>
      </c>
      <c r="I57" s="16">
        <f t="shared" si="16"/>
        <v>42622.555138888863</v>
      </c>
      <c r="J57" s="16">
        <f t="shared" si="15"/>
        <v>42622.558611111082</v>
      </c>
      <c r="K57" s="14"/>
      <c r="L57" s="14"/>
      <c r="M57" s="23"/>
      <c r="N57" s="22"/>
    </row>
    <row r="58" spans="1:14" s="11" customFormat="1" outlineLevel="2" x14ac:dyDescent="0.2">
      <c r="A58" s="12"/>
      <c r="B58" s="23"/>
      <c r="C58" s="14" t="s">
        <v>109</v>
      </c>
      <c r="D58" s="29">
        <v>65</v>
      </c>
      <c r="E58" s="17" t="s">
        <v>28</v>
      </c>
      <c r="F58" s="193" t="s">
        <v>126</v>
      </c>
      <c r="G58" s="274" t="s">
        <v>716</v>
      </c>
      <c r="H58" s="33">
        <v>1.0416666666666666E-2</v>
      </c>
      <c r="I58" s="16">
        <f t="shared" si="16"/>
        <v>42622.558611111082</v>
      </c>
      <c r="J58" s="16">
        <f t="shared" si="15"/>
        <v>42622.569027777747</v>
      </c>
      <c r="K58" s="14"/>
      <c r="L58" s="14"/>
      <c r="M58" s="23"/>
      <c r="N58" s="22"/>
    </row>
    <row r="59" spans="1:14" s="11" customFormat="1" ht="25.5" outlineLevel="2" x14ac:dyDescent="0.2">
      <c r="A59" s="12"/>
      <c r="B59" s="23"/>
      <c r="C59" s="14" t="s">
        <v>110</v>
      </c>
      <c r="D59" s="29">
        <v>66</v>
      </c>
      <c r="E59" s="17" t="s">
        <v>28</v>
      </c>
      <c r="F59" s="193" t="s">
        <v>126</v>
      </c>
      <c r="G59" s="274" t="s">
        <v>716</v>
      </c>
      <c r="H59" s="33">
        <v>3.125E-2</v>
      </c>
      <c r="I59" s="16">
        <f t="shared" si="16"/>
        <v>42622.569027777747</v>
      </c>
      <c r="J59" s="16">
        <f t="shared" si="15"/>
        <v>42622.600277777747</v>
      </c>
      <c r="K59" s="14"/>
      <c r="L59" s="14" t="s">
        <v>890</v>
      </c>
      <c r="M59" s="23"/>
      <c r="N59" s="22"/>
    </row>
    <row r="60" spans="1:14" s="11" customFormat="1" outlineLevel="2" x14ac:dyDescent="0.2">
      <c r="A60" s="12"/>
      <c r="B60" s="23"/>
      <c r="C60" s="14" t="s">
        <v>111</v>
      </c>
      <c r="D60" s="29">
        <v>67</v>
      </c>
      <c r="E60" s="17" t="s">
        <v>28</v>
      </c>
      <c r="F60" s="193" t="s">
        <v>126</v>
      </c>
      <c r="G60" s="274" t="s">
        <v>716</v>
      </c>
      <c r="H60" s="33">
        <v>3.472222222222222E-3</v>
      </c>
      <c r="I60" s="16">
        <f t="shared" si="16"/>
        <v>42622.600277777747</v>
      </c>
      <c r="J60" s="16">
        <f t="shared" si="15"/>
        <v>42622.603749999966</v>
      </c>
      <c r="K60" s="14"/>
      <c r="L60" s="14"/>
      <c r="M60" s="23"/>
      <c r="N60" s="22"/>
    </row>
    <row r="61" spans="1:14" s="11" customFormat="1" outlineLevel="2" x14ac:dyDescent="0.2">
      <c r="A61" s="12"/>
      <c r="B61" s="23"/>
      <c r="C61" s="14" t="s">
        <v>112</v>
      </c>
      <c r="D61" s="29">
        <v>68</v>
      </c>
      <c r="E61" s="17" t="s">
        <v>28</v>
      </c>
      <c r="F61" s="193" t="s">
        <v>126</v>
      </c>
      <c r="G61" s="274" t="s">
        <v>716</v>
      </c>
      <c r="H61" s="33">
        <v>3.472222222222222E-3</v>
      </c>
      <c r="I61" s="16">
        <f t="shared" si="16"/>
        <v>42622.603749999966</v>
      </c>
      <c r="J61" s="16">
        <f t="shared" si="15"/>
        <v>42622.607222222185</v>
      </c>
      <c r="K61" s="14"/>
      <c r="L61" s="14"/>
      <c r="M61" s="23"/>
      <c r="N61" s="22"/>
    </row>
    <row r="62" spans="1:14" s="11" customFormat="1" outlineLevel="2" x14ac:dyDescent="0.2">
      <c r="A62" s="12"/>
      <c r="B62" s="23"/>
      <c r="C62" s="14" t="s">
        <v>113</v>
      </c>
      <c r="D62" s="29">
        <v>69</v>
      </c>
      <c r="E62" s="17" t="s">
        <v>28</v>
      </c>
      <c r="F62" s="193" t="s">
        <v>126</v>
      </c>
      <c r="G62" s="274" t="s">
        <v>716</v>
      </c>
      <c r="H62" s="33">
        <v>1.0416666666666666E-2</v>
      </c>
      <c r="I62" s="16">
        <f t="shared" si="16"/>
        <v>42622.607222222185</v>
      </c>
      <c r="J62" s="16">
        <f t="shared" si="15"/>
        <v>42622.617638888849</v>
      </c>
      <c r="K62" s="14"/>
      <c r="L62" s="14"/>
      <c r="M62" s="23"/>
      <c r="N62" s="22"/>
    </row>
    <row r="63" spans="1:14" x14ac:dyDescent="0.2">
      <c r="A63" s="12"/>
      <c r="B63" s="23"/>
      <c r="C63" s="14" t="s">
        <v>17</v>
      </c>
      <c r="D63" s="29">
        <v>70</v>
      </c>
      <c r="E63" s="17" t="s">
        <v>28</v>
      </c>
      <c r="F63" s="193" t="s">
        <v>126</v>
      </c>
      <c r="G63" s="274" t="s">
        <v>716</v>
      </c>
      <c r="H63" s="33">
        <v>3.472222222222222E-3</v>
      </c>
      <c r="I63" s="16">
        <f t="shared" si="16"/>
        <v>42622.617638888849</v>
      </c>
      <c r="J63" s="16">
        <f t="shared" si="15"/>
        <v>42622.621111111068</v>
      </c>
      <c r="K63" s="14"/>
      <c r="L63" s="14"/>
      <c r="M63" s="23"/>
      <c r="N63" s="22"/>
    </row>
    <row r="64" spans="1:14" x14ac:dyDescent="0.2">
      <c r="A64" s="12"/>
      <c r="B64" s="23"/>
      <c r="C64" s="28" t="s">
        <v>114</v>
      </c>
      <c r="D64" s="29"/>
      <c r="E64" s="17"/>
      <c r="F64" s="193" t="s">
        <v>126</v>
      </c>
      <c r="G64" s="196"/>
      <c r="H64" s="14"/>
      <c r="I64" s="16"/>
      <c r="J64" s="16"/>
      <c r="K64" s="14"/>
      <c r="L64" s="14"/>
      <c r="M64" s="23"/>
      <c r="N64" s="22"/>
    </row>
    <row r="65" spans="1:14" x14ac:dyDescent="0.2">
      <c r="A65" s="12"/>
      <c r="B65" s="23"/>
      <c r="C65" s="14" t="s">
        <v>115</v>
      </c>
      <c r="D65" s="29">
        <v>81</v>
      </c>
      <c r="E65" s="17" t="s">
        <v>28</v>
      </c>
      <c r="F65" s="193" t="s">
        <v>126</v>
      </c>
      <c r="G65" s="274" t="s">
        <v>716</v>
      </c>
      <c r="H65" s="33">
        <v>3.472222222222222E-3</v>
      </c>
      <c r="I65" s="16">
        <f>J63</f>
        <v>42622.621111111068</v>
      </c>
      <c r="J65" s="16">
        <f>I65+H65</f>
        <v>42622.624583333287</v>
      </c>
      <c r="K65" s="14"/>
      <c r="L65" s="14"/>
      <c r="M65" s="23"/>
      <c r="N65" s="22"/>
    </row>
    <row r="66" spans="1:14" x14ac:dyDescent="0.2">
      <c r="A66" s="12"/>
      <c r="B66" s="23"/>
      <c r="C66" s="14" t="s">
        <v>116</v>
      </c>
      <c r="D66" s="29">
        <v>82</v>
      </c>
      <c r="E66" s="17" t="s">
        <v>28</v>
      </c>
      <c r="F66" s="193" t="s">
        <v>126</v>
      </c>
      <c r="G66" s="274" t="s">
        <v>716</v>
      </c>
      <c r="H66" s="33">
        <v>3.472222222222222E-3</v>
      </c>
      <c r="I66" s="16">
        <f t="shared" si="16"/>
        <v>42622.624583333287</v>
      </c>
      <c r="J66" s="16">
        <f>I66+H66</f>
        <v>42622.628055555506</v>
      </c>
      <c r="K66" s="14"/>
      <c r="L66" s="14"/>
      <c r="M66" s="23"/>
      <c r="N66" s="22"/>
    </row>
    <row r="67" spans="1:14" x14ac:dyDescent="0.2">
      <c r="A67" s="12"/>
      <c r="B67" s="23"/>
      <c r="C67" s="28" t="s">
        <v>117</v>
      </c>
      <c r="D67" s="29"/>
      <c r="E67" s="17"/>
      <c r="F67" s="193" t="s">
        <v>126</v>
      </c>
      <c r="G67" s="196"/>
      <c r="H67" s="14"/>
      <c r="I67" s="16"/>
      <c r="J67" s="16"/>
      <c r="K67" s="14"/>
      <c r="L67" s="14"/>
      <c r="M67" s="23"/>
      <c r="N67" s="22"/>
    </row>
    <row r="68" spans="1:14" x14ac:dyDescent="0.2">
      <c r="A68" s="12"/>
      <c r="B68" s="23"/>
      <c r="C68" s="14" t="s">
        <v>15</v>
      </c>
      <c r="D68" s="29">
        <v>93</v>
      </c>
      <c r="E68" s="17" t="s">
        <v>28</v>
      </c>
      <c r="F68" s="193" t="s">
        <v>126</v>
      </c>
      <c r="G68" s="274" t="s">
        <v>716</v>
      </c>
      <c r="H68" s="33">
        <v>1.7361111111111112E-2</v>
      </c>
      <c r="I68" s="16">
        <f>J66</f>
        <v>42622.628055555506</v>
      </c>
      <c r="J68" s="16">
        <f t="shared" ref="J68:J79" si="17">I68+H68</f>
        <v>42622.645416666615</v>
      </c>
      <c r="K68" s="14"/>
      <c r="L68" s="164"/>
      <c r="M68" s="23"/>
      <c r="N68" s="22"/>
    </row>
    <row r="69" spans="1:14" x14ac:dyDescent="0.2">
      <c r="A69" s="12"/>
      <c r="B69" s="23"/>
      <c r="C69" s="14" t="s">
        <v>119</v>
      </c>
      <c r="D69" s="29">
        <v>96</v>
      </c>
      <c r="E69" s="17" t="s">
        <v>28</v>
      </c>
      <c r="F69" s="193" t="s">
        <v>126</v>
      </c>
      <c r="G69" s="274" t="s">
        <v>716</v>
      </c>
      <c r="H69" s="33">
        <v>3.472222222222222E-3</v>
      </c>
      <c r="I69" s="16">
        <f>J68</f>
        <v>42622.645416666615</v>
      </c>
      <c r="J69" s="16">
        <f t="shared" si="17"/>
        <v>42622.648888888834</v>
      </c>
      <c r="K69" s="14"/>
      <c r="L69" s="14"/>
      <c r="M69" s="23"/>
      <c r="N69" s="22"/>
    </row>
    <row r="70" spans="1:14" x14ac:dyDescent="0.2">
      <c r="A70" s="12"/>
      <c r="B70" s="23"/>
      <c r="C70" s="14" t="s">
        <v>128</v>
      </c>
      <c r="D70" s="29">
        <v>97</v>
      </c>
      <c r="E70" s="17" t="s">
        <v>28</v>
      </c>
      <c r="F70" s="193" t="s">
        <v>126</v>
      </c>
      <c r="G70" s="274" t="s">
        <v>716</v>
      </c>
      <c r="H70" s="33">
        <v>3.472222222222222E-3</v>
      </c>
      <c r="I70" s="16">
        <f t="shared" si="16"/>
        <v>42622.648888888834</v>
      </c>
      <c r="J70" s="16">
        <f t="shared" si="17"/>
        <v>42622.652361111053</v>
      </c>
      <c r="K70" s="14"/>
      <c r="L70" s="14"/>
      <c r="M70" s="23"/>
      <c r="N70" s="22"/>
    </row>
    <row r="71" spans="1:14" x14ac:dyDescent="0.2">
      <c r="A71" s="12"/>
      <c r="B71" s="23"/>
      <c r="C71" s="14" t="s">
        <v>131</v>
      </c>
      <c r="D71" s="29">
        <v>98</v>
      </c>
      <c r="E71" s="17" t="s">
        <v>28</v>
      </c>
      <c r="F71" s="193" t="s">
        <v>126</v>
      </c>
      <c r="G71" s="274" t="s">
        <v>716</v>
      </c>
      <c r="H71" s="33">
        <v>1.7361111111111112E-2</v>
      </c>
      <c r="I71" s="16">
        <f t="shared" si="16"/>
        <v>42622.652361111053</v>
      </c>
      <c r="J71" s="16">
        <f t="shared" si="17"/>
        <v>42622.669722222163</v>
      </c>
      <c r="K71" s="14"/>
      <c r="L71" s="14"/>
      <c r="M71" s="23"/>
      <c r="N71" s="22"/>
    </row>
    <row r="72" spans="1:14" ht="89.25" x14ac:dyDescent="0.2">
      <c r="A72" s="12"/>
      <c r="B72" s="129"/>
      <c r="C72" s="14" t="s">
        <v>124</v>
      </c>
      <c r="D72" s="29">
        <v>99</v>
      </c>
      <c r="E72" s="17" t="s">
        <v>28</v>
      </c>
      <c r="F72" s="193" t="s">
        <v>126</v>
      </c>
      <c r="G72" s="274" t="s">
        <v>716</v>
      </c>
      <c r="H72" s="33">
        <v>3.472222222222222E-3</v>
      </c>
      <c r="I72" s="16">
        <f>J71</f>
        <v>42622.669722222163</v>
      </c>
      <c r="J72" s="16">
        <f t="shared" si="17"/>
        <v>42622.673194444382</v>
      </c>
      <c r="K72" s="14"/>
      <c r="L72" s="14" t="s">
        <v>891</v>
      </c>
      <c r="M72" s="129"/>
      <c r="N72" s="128"/>
    </row>
    <row r="73" spans="1:14" ht="38.25" x14ac:dyDescent="0.2">
      <c r="A73" s="12"/>
      <c r="B73" s="129"/>
      <c r="C73" s="14" t="s">
        <v>127</v>
      </c>
      <c r="D73" s="29">
        <v>100</v>
      </c>
      <c r="E73" s="17" t="s">
        <v>28</v>
      </c>
      <c r="F73" s="17" t="s">
        <v>29</v>
      </c>
      <c r="G73" s="274" t="s">
        <v>716</v>
      </c>
      <c r="H73" s="33">
        <v>3.125E-2</v>
      </c>
      <c r="I73" s="16">
        <f t="shared" ref="I73" si="18">J72</f>
        <v>42622.673194444382</v>
      </c>
      <c r="J73" s="16">
        <f t="shared" si="17"/>
        <v>42622.704444444382</v>
      </c>
      <c r="K73" s="14"/>
      <c r="L73" s="163" t="s">
        <v>878</v>
      </c>
      <c r="M73" s="129"/>
      <c r="N73" s="128"/>
    </row>
    <row r="74" spans="1:14" ht="93" customHeight="1" x14ac:dyDescent="0.2">
      <c r="A74" s="12"/>
      <c r="B74" s="129"/>
      <c r="C74" s="14" t="s">
        <v>130</v>
      </c>
      <c r="D74" s="29">
        <v>101</v>
      </c>
      <c r="E74" s="17" t="s">
        <v>28</v>
      </c>
      <c r="F74" s="17" t="s">
        <v>29</v>
      </c>
      <c r="G74" s="274" t="s">
        <v>716</v>
      </c>
      <c r="H74" s="33">
        <v>0.64652777777777781</v>
      </c>
      <c r="I74" s="16">
        <v>42622.854166666664</v>
      </c>
      <c r="J74" s="16">
        <f t="shared" si="17"/>
        <v>42623.500694444439</v>
      </c>
      <c r="K74" s="14"/>
      <c r="L74" s="162" t="s">
        <v>1113</v>
      </c>
      <c r="M74" s="129"/>
      <c r="N74" s="128"/>
    </row>
    <row r="75" spans="1:14" ht="93" customHeight="1" x14ac:dyDescent="0.2">
      <c r="A75" s="12"/>
      <c r="B75" s="129"/>
      <c r="C75" s="14" t="s">
        <v>886</v>
      </c>
      <c r="D75" s="29">
        <v>102</v>
      </c>
      <c r="E75" s="17" t="s">
        <v>28</v>
      </c>
      <c r="F75" s="17" t="s">
        <v>29</v>
      </c>
      <c r="G75" s="274" t="s">
        <v>716</v>
      </c>
      <c r="H75" s="33">
        <v>2.0833333333333332E-2</v>
      </c>
      <c r="I75" s="16">
        <f t="shared" ref="I75:I79" si="19">J74</f>
        <v>42623.500694444439</v>
      </c>
      <c r="J75" s="16">
        <f t="shared" si="17"/>
        <v>42623.521527777775</v>
      </c>
      <c r="K75" s="14"/>
      <c r="L75" s="162" t="s">
        <v>887</v>
      </c>
      <c r="M75" s="129"/>
      <c r="N75" s="128"/>
    </row>
    <row r="76" spans="1:14" x14ac:dyDescent="0.2">
      <c r="A76" s="12"/>
      <c r="B76" s="172"/>
      <c r="C76" s="197" t="s">
        <v>118</v>
      </c>
      <c r="D76" s="182">
        <v>91</v>
      </c>
      <c r="E76" s="193" t="s">
        <v>28</v>
      </c>
      <c r="F76" s="193" t="s">
        <v>29</v>
      </c>
      <c r="G76" s="274" t="s">
        <v>716</v>
      </c>
      <c r="H76" s="33">
        <v>2.4305555555555556E-2</v>
      </c>
      <c r="I76" s="177">
        <f t="shared" si="19"/>
        <v>42623.521527777775</v>
      </c>
      <c r="J76" s="177">
        <f t="shared" si="17"/>
        <v>42623.54583333333</v>
      </c>
      <c r="K76" s="197"/>
      <c r="L76" s="197"/>
      <c r="M76" s="172"/>
      <c r="N76" s="173"/>
    </row>
    <row r="77" spans="1:14" ht="25.5" x14ac:dyDescent="0.2">
      <c r="A77" s="12"/>
      <c r="B77" s="129"/>
      <c r="C77" s="115" t="s">
        <v>786</v>
      </c>
      <c r="D77" s="29">
        <v>104</v>
      </c>
      <c r="E77" s="17" t="s">
        <v>28</v>
      </c>
      <c r="F77" s="193" t="s">
        <v>126</v>
      </c>
      <c r="G77" s="274" t="s">
        <v>716</v>
      </c>
      <c r="H77" s="33">
        <v>1.3888888888888889E-3</v>
      </c>
      <c r="I77" s="16">
        <f>J76</f>
        <v>42623.54583333333</v>
      </c>
      <c r="J77" s="16">
        <f t="shared" si="17"/>
        <v>42623.547222222216</v>
      </c>
      <c r="K77" s="14"/>
      <c r="L77" s="162" t="s">
        <v>888</v>
      </c>
      <c r="M77" s="129"/>
      <c r="N77" s="128"/>
    </row>
    <row r="78" spans="1:14" x14ac:dyDescent="0.2">
      <c r="A78" s="12"/>
      <c r="B78" s="129"/>
      <c r="C78" s="115" t="s">
        <v>787</v>
      </c>
      <c r="D78" s="29">
        <v>105</v>
      </c>
      <c r="E78" s="17" t="s">
        <v>28</v>
      </c>
      <c r="F78" s="193" t="s">
        <v>126</v>
      </c>
      <c r="G78" s="274" t="s">
        <v>716</v>
      </c>
      <c r="H78" s="33">
        <v>1.3888888888888889E-3</v>
      </c>
      <c r="I78" s="16">
        <f t="shared" si="19"/>
        <v>42623.547222222216</v>
      </c>
      <c r="J78" s="16">
        <f t="shared" si="17"/>
        <v>42623.548611111102</v>
      </c>
      <c r="K78" s="14"/>
      <c r="L78" s="14" t="s">
        <v>718</v>
      </c>
      <c r="M78" s="129"/>
      <c r="N78" s="128"/>
    </row>
    <row r="79" spans="1:14" x14ac:dyDescent="0.2">
      <c r="A79" s="12"/>
      <c r="B79" s="129"/>
      <c r="C79" s="217" t="s">
        <v>879</v>
      </c>
      <c r="D79" s="211">
        <v>105</v>
      </c>
      <c r="E79" s="212" t="s">
        <v>28</v>
      </c>
      <c r="F79" s="193" t="s">
        <v>126</v>
      </c>
      <c r="G79" s="274" t="s">
        <v>716</v>
      </c>
      <c r="H79" s="215">
        <v>0</v>
      </c>
      <c r="I79" s="214">
        <f t="shared" si="19"/>
        <v>42623.548611111102</v>
      </c>
      <c r="J79" s="214">
        <f t="shared" si="17"/>
        <v>42623.548611111102</v>
      </c>
      <c r="K79" s="210"/>
      <c r="L79" s="210" t="s">
        <v>1109</v>
      </c>
      <c r="M79" s="129"/>
      <c r="N79" s="128"/>
    </row>
    <row r="80" spans="1:14" s="124" customFormat="1" outlineLevel="2" x14ac:dyDescent="0.2">
      <c r="A80" s="147" t="s">
        <v>105</v>
      </c>
      <c r="B80" s="148"/>
      <c r="C80" s="149"/>
      <c r="D80" s="149"/>
      <c r="E80" s="150"/>
      <c r="F80" s="151"/>
      <c r="G80" s="151"/>
      <c r="H80" s="150"/>
      <c r="I80" s="152"/>
      <c r="J80" s="152"/>
      <c r="K80" s="152"/>
      <c r="L80" s="149"/>
      <c r="M80" s="148"/>
      <c r="N80" s="147"/>
    </row>
    <row r="81" spans="1:14" s="124" customFormat="1" outlineLevel="2" x14ac:dyDescent="0.2">
      <c r="A81" s="12"/>
      <c r="B81" s="13" t="s">
        <v>200</v>
      </c>
      <c r="C81" s="131"/>
      <c r="D81" s="133"/>
      <c r="E81" s="133"/>
      <c r="F81" s="133"/>
      <c r="G81" s="130"/>
      <c r="H81" s="130"/>
      <c r="I81" s="132"/>
      <c r="J81" s="132"/>
      <c r="K81" s="132"/>
      <c r="L81" s="131"/>
      <c r="M81" s="129"/>
      <c r="N81" s="128"/>
    </row>
    <row r="82" spans="1:14" x14ac:dyDescent="0.2">
      <c r="C82" s="18" t="s">
        <v>781</v>
      </c>
    </row>
  </sheetData>
  <customSheetViews>
    <customSheetView guid="{EFD0C189-9324-4D86-95BA-5C156BEBE3FF}" scale="85">
      <selection activeCell="L73" sqref="L73"/>
      <pageMargins left="0.7" right="0.7" top="0.75" bottom="0.75" header="0.3" footer="0.3"/>
    </customSheetView>
    <customSheetView guid="{C3F17FE5-D79C-4826-BC45-AEFEC3C0EFCA}" scale="85" topLeftCell="D46">
      <selection activeCell="J75" sqref="J75"/>
      <pageMargins left="0.7" right="0.7" top="0.75" bottom="0.75" header="0.3" footer="0.3"/>
    </customSheetView>
  </customSheetViews>
  <conditionalFormatting sqref="G4 G21 G28 G64 G67">
    <cfRule type="cellIs" dxfId="764" priority="645" operator="equal">
      <formula>"N/A"</formula>
    </cfRule>
    <cfRule type="cellIs" dxfId="763" priority="646" stopIfTrue="1" operator="equal">
      <formula>"Failed"</formula>
    </cfRule>
    <cfRule type="cellIs" dxfId="762" priority="647" stopIfTrue="1" operator="equal">
      <formula>"In progress"</formula>
    </cfRule>
    <cfRule type="cellIs" dxfId="761" priority="648" stopIfTrue="1" operator="equal">
      <formula>"Passed"</formula>
    </cfRule>
  </conditionalFormatting>
  <conditionalFormatting sqref="G6">
    <cfRule type="cellIs" dxfId="760" priority="237" operator="equal">
      <formula>"N/A"</formula>
    </cfRule>
    <cfRule type="cellIs" dxfId="759" priority="238" stopIfTrue="1" operator="equal">
      <formula>"Failed"</formula>
    </cfRule>
    <cfRule type="cellIs" dxfId="758" priority="239" stopIfTrue="1" operator="equal">
      <formula>"In progress"</formula>
    </cfRule>
    <cfRule type="cellIs" dxfId="757" priority="240" stopIfTrue="1" operator="equal">
      <formula>"Passed"</formula>
    </cfRule>
  </conditionalFormatting>
  <conditionalFormatting sqref="G7">
    <cfRule type="cellIs" dxfId="756" priority="233" operator="equal">
      <formula>"N/A"</formula>
    </cfRule>
    <cfRule type="cellIs" dxfId="755" priority="234" stopIfTrue="1" operator="equal">
      <formula>"Failed"</formula>
    </cfRule>
    <cfRule type="cellIs" dxfId="754" priority="235" stopIfTrue="1" operator="equal">
      <formula>"In progress"</formula>
    </cfRule>
    <cfRule type="cellIs" dxfId="753" priority="236" stopIfTrue="1" operator="equal">
      <formula>"Passed"</formula>
    </cfRule>
  </conditionalFormatting>
  <conditionalFormatting sqref="G9">
    <cfRule type="cellIs" dxfId="752" priority="229" operator="equal">
      <formula>"N/A"</formula>
    </cfRule>
    <cfRule type="cellIs" dxfId="751" priority="230" stopIfTrue="1" operator="equal">
      <formula>"Failed"</formula>
    </cfRule>
    <cfRule type="cellIs" dxfId="750" priority="231" stopIfTrue="1" operator="equal">
      <formula>"In progress"</formula>
    </cfRule>
    <cfRule type="cellIs" dxfId="749" priority="232" stopIfTrue="1" operator="equal">
      <formula>"Passed"</formula>
    </cfRule>
  </conditionalFormatting>
  <conditionalFormatting sqref="G10">
    <cfRule type="cellIs" dxfId="748" priority="225" operator="equal">
      <formula>"N/A"</formula>
    </cfRule>
    <cfRule type="cellIs" dxfId="747" priority="226" stopIfTrue="1" operator="equal">
      <formula>"Failed"</formula>
    </cfRule>
    <cfRule type="cellIs" dxfId="746" priority="227" stopIfTrue="1" operator="equal">
      <formula>"In progress"</formula>
    </cfRule>
    <cfRule type="cellIs" dxfId="745" priority="228" stopIfTrue="1" operator="equal">
      <formula>"Passed"</formula>
    </cfRule>
  </conditionalFormatting>
  <conditionalFormatting sqref="G11">
    <cfRule type="cellIs" dxfId="744" priority="221" operator="equal">
      <formula>"N/A"</formula>
    </cfRule>
    <cfRule type="cellIs" dxfId="743" priority="222" stopIfTrue="1" operator="equal">
      <formula>"Failed"</formula>
    </cfRule>
    <cfRule type="cellIs" dxfId="742" priority="223" stopIfTrue="1" operator="equal">
      <formula>"In progress"</formula>
    </cfRule>
    <cfRule type="cellIs" dxfId="741" priority="224" stopIfTrue="1" operator="equal">
      <formula>"Passed"</formula>
    </cfRule>
  </conditionalFormatting>
  <conditionalFormatting sqref="G12">
    <cfRule type="cellIs" dxfId="740" priority="217" operator="equal">
      <formula>"N/A"</formula>
    </cfRule>
    <cfRule type="cellIs" dxfId="739" priority="218" stopIfTrue="1" operator="equal">
      <formula>"Failed"</formula>
    </cfRule>
    <cfRule type="cellIs" dxfId="738" priority="219" stopIfTrue="1" operator="equal">
      <formula>"In progress"</formula>
    </cfRule>
    <cfRule type="cellIs" dxfId="737" priority="220" stopIfTrue="1" operator="equal">
      <formula>"Passed"</formula>
    </cfRule>
  </conditionalFormatting>
  <conditionalFormatting sqref="G8">
    <cfRule type="cellIs" dxfId="736" priority="213" operator="equal">
      <formula>"N/A"</formula>
    </cfRule>
    <cfRule type="cellIs" dxfId="735" priority="214" stopIfTrue="1" operator="equal">
      <formula>"Failed"</formula>
    </cfRule>
    <cfRule type="cellIs" dxfId="734" priority="215" stopIfTrue="1" operator="equal">
      <formula>"In progress"</formula>
    </cfRule>
    <cfRule type="cellIs" dxfId="733" priority="216" stopIfTrue="1" operator="equal">
      <formula>"Passed"</formula>
    </cfRule>
  </conditionalFormatting>
  <conditionalFormatting sqref="G13">
    <cfRule type="cellIs" dxfId="732" priority="201" operator="equal">
      <formula>"N/A"</formula>
    </cfRule>
    <cfRule type="cellIs" dxfId="731" priority="202" stopIfTrue="1" operator="equal">
      <formula>"Failed"</formula>
    </cfRule>
    <cfRule type="cellIs" dxfId="730" priority="203" stopIfTrue="1" operator="equal">
      <formula>"In progress"</formula>
    </cfRule>
    <cfRule type="cellIs" dxfId="729" priority="204" stopIfTrue="1" operator="equal">
      <formula>"Passed"</formula>
    </cfRule>
  </conditionalFormatting>
  <conditionalFormatting sqref="G14">
    <cfRule type="cellIs" dxfId="728" priority="197" operator="equal">
      <formula>"N/A"</formula>
    </cfRule>
    <cfRule type="cellIs" dxfId="727" priority="198" stopIfTrue="1" operator="equal">
      <formula>"Failed"</formula>
    </cfRule>
    <cfRule type="cellIs" dxfId="726" priority="199" stopIfTrue="1" operator="equal">
      <formula>"In progress"</formula>
    </cfRule>
    <cfRule type="cellIs" dxfId="725" priority="200" stopIfTrue="1" operator="equal">
      <formula>"Passed"</formula>
    </cfRule>
  </conditionalFormatting>
  <conditionalFormatting sqref="G18">
    <cfRule type="cellIs" dxfId="724" priority="193" operator="equal">
      <formula>"N/A"</formula>
    </cfRule>
    <cfRule type="cellIs" dxfId="723" priority="194" stopIfTrue="1" operator="equal">
      <formula>"Failed"</formula>
    </cfRule>
    <cfRule type="cellIs" dxfId="722" priority="195" stopIfTrue="1" operator="equal">
      <formula>"In progress"</formula>
    </cfRule>
    <cfRule type="cellIs" dxfId="721" priority="196" stopIfTrue="1" operator="equal">
      <formula>"Passed"</formula>
    </cfRule>
  </conditionalFormatting>
  <conditionalFormatting sqref="G15:G17">
    <cfRule type="cellIs" dxfId="720" priority="189" operator="equal">
      <formula>"N/A"</formula>
    </cfRule>
    <cfRule type="cellIs" dxfId="719" priority="190" stopIfTrue="1" operator="equal">
      <formula>"Failed"</formula>
    </cfRule>
    <cfRule type="cellIs" dxfId="718" priority="191" stopIfTrue="1" operator="equal">
      <formula>"In progress"</formula>
    </cfRule>
    <cfRule type="cellIs" dxfId="717" priority="192" stopIfTrue="1" operator="equal">
      <formula>"Passed"</formula>
    </cfRule>
  </conditionalFormatting>
  <conditionalFormatting sqref="G5">
    <cfRule type="cellIs" dxfId="716" priority="185" operator="equal">
      <formula>"N/A"</formula>
    </cfRule>
    <cfRule type="cellIs" dxfId="715" priority="186" stopIfTrue="1" operator="equal">
      <formula>"Failed"</formula>
    </cfRule>
    <cfRule type="cellIs" dxfId="714" priority="187" stopIfTrue="1" operator="equal">
      <formula>"In progress"</formula>
    </cfRule>
    <cfRule type="cellIs" dxfId="713" priority="188" stopIfTrue="1" operator="equal">
      <formula>"Passed"</formula>
    </cfRule>
  </conditionalFormatting>
  <conditionalFormatting sqref="G21:G28">
    <cfRule type="cellIs" dxfId="712" priority="181" operator="equal">
      <formula>"N/A"</formula>
    </cfRule>
    <cfRule type="cellIs" dxfId="711" priority="182" stopIfTrue="1" operator="equal">
      <formula>"Failed"</formula>
    </cfRule>
    <cfRule type="cellIs" dxfId="710" priority="183" stopIfTrue="1" operator="equal">
      <formula>"In progress"</formula>
    </cfRule>
    <cfRule type="cellIs" dxfId="709" priority="184" stopIfTrue="1" operator="equal">
      <formula>"Passed"</formula>
    </cfRule>
  </conditionalFormatting>
  <conditionalFormatting sqref="G19">
    <cfRule type="cellIs" dxfId="708" priority="177" operator="equal">
      <formula>"N/A"</formula>
    </cfRule>
    <cfRule type="cellIs" dxfId="707" priority="178" stopIfTrue="1" operator="equal">
      <formula>"Failed"</formula>
    </cfRule>
    <cfRule type="cellIs" dxfId="706" priority="179" stopIfTrue="1" operator="equal">
      <formula>"In progress"</formula>
    </cfRule>
    <cfRule type="cellIs" dxfId="705" priority="180" stopIfTrue="1" operator="equal">
      <formula>"Passed"</formula>
    </cfRule>
  </conditionalFormatting>
  <conditionalFormatting sqref="G27">
    <cfRule type="cellIs" dxfId="704" priority="173" operator="equal">
      <formula>"N/A"</formula>
    </cfRule>
    <cfRule type="cellIs" dxfId="703" priority="174" stopIfTrue="1" operator="equal">
      <formula>"Failed"</formula>
    </cfRule>
    <cfRule type="cellIs" dxfId="702" priority="175" stopIfTrue="1" operator="equal">
      <formula>"In progress"</formula>
    </cfRule>
    <cfRule type="cellIs" dxfId="701" priority="176" stopIfTrue="1" operator="equal">
      <formula>"Passed"</formula>
    </cfRule>
  </conditionalFormatting>
  <conditionalFormatting sqref="G29">
    <cfRule type="cellIs" dxfId="700" priority="169" operator="equal">
      <formula>"N/A"</formula>
    </cfRule>
    <cfRule type="cellIs" dxfId="699" priority="170" stopIfTrue="1" operator="equal">
      <formula>"Failed"</formula>
    </cfRule>
    <cfRule type="cellIs" dxfId="698" priority="171" stopIfTrue="1" operator="equal">
      <formula>"In progress"</formula>
    </cfRule>
    <cfRule type="cellIs" dxfId="697" priority="172" stopIfTrue="1" operator="equal">
      <formula>"Passed"</formula>
    </cfRule>
  </conditionalFormatting>
  <conditionalFormatting sqref="G30">
    <cfRule type="cellIs" dxfId="696" priority="165" operator="equal">
      <formula>"N/A"</formula>
    </cfRule>
    <cfRule type="cellIs" dxfId="695" priority="166" stopIfTrue="1" operator="equal">
      <formula>"Failed"</formula>
    </cfRule>
    <cfRule type="cellIs" dxfId="694" priority="167" stopIfTrue="1" operator="equal">
      <formula>"In progress"</formula>
    </cfRule>
    <cfRule type="cellIs" dxfId="693" priority="168" stopIfTrue="1" operator="equal">
      <formula>"Passed"</formula>
    </cfRule>
  </conditionalFormatting>
  <conditionalFormatting sqref="G32">
    <cfRule type="cellIs" dxfId="692" priority="161" operator="equal">
      <formula>"N/A"</formula>
    </cfRule>
    <cfRule type="cellIs" dxfId="691" priority="162" stopIfTrue="1" operator="equal">
      <formula>"Failed"</formula>
    </cfRule>
    <cfRule type="cellIs" dxfId="690" priority="163" stopIfTrue="1" operator="equal">
      <formula>"In progress"</formula>
    </cfRule>
    <cfRule type="cellIs" dxfId="689" priority="164" stopIfTrue="1" operator="equal">
      <formula>"Passed"</formula>
    </cfRule>
  </conditionalFormatting>
  <conditionalFormatting sqref="G35">
    <cfRule type="cellIs" dxfId="688" priority="157" operator="equal">
      <formula>"N/A"</formula>
    </cfRule>
    <cfRule type="cellIs" dxfId="687" priority="158" stopIfTrue="1" operator="equal">
      <formula>"Failed"</formula>
    </cfRule>
    <cfRule type="cellIs" dxfId="686" priority="159" stopIfTrue="1" operator="equal">
      <formula>"In progress"</formula>
    </cfRule>
    <cfRule type="cellIs" dxfId="685" priority="160" stopIfTrue="1" operator="equal">
      <formula>"Passed"</formula>
    </cfRule>
  </conditionalFormatting>
  <conditionalFormatting sqref="G36">
    <cfRule type="cellIs" dxfId="684" priority="153" operator="equal">
      <formula>"N/A"</formula>
    </cfRule>
    <cfRule type="cellIs" dxfId="683" priority="154" stopIfTrue="1" operator="equal">
      <formula>"Failed"</formula>
    </cfRule>
    <cfRule type="cellIs" dxfId="682" priority="155" stopIfTrue="1" operator="equal">
      <formula>"In progress"</formula>
    </cfRule>
    <cfRule type="cellIs" dxfId="681" priority="156" stopIfTrue="1" operator="equal">
      <formula>"Passed"</formula>
    </cfRule>
  </conditionalFormatting>
  <conditionalFormatting sqref="G37">
    <cfRule type="cellIs" dxfId="680" priority="149" operator="equal">
      <formula>"N/A"</formula>
    </cfRule>
    <cfRule type="cellIs" dxfId="679" priority="150" stopIfTrue="1" operator="equal">
      <formula>"Failed"</formula>
    </cfRule>
    <cfRule type="cellIs" dxfId="678" priority="151" stopIfTrue="1" operator="equal">
      <formula>"In progress"</formula>
    </cfRule>
    <cfRule type="cellIs" dxfId="677" priority="152" stopIfTrue="1" operator="equal">
      <formula>"Passed"</formula>
    </cfRule>
  </conditionalFormatting>
  <conditionalFormatting sqref="G38">
    <cfRule type="cellIs" dxfId="676" priority="145" operator="equal">
      <formula>"N/A"</formula>
    </cfRule>
    <cfRule type="cellIs" dxfId="675" priority="146" stopIfTrue="1" operator="equal">
      <formula>"Failed"</formula>
    </cfRule>
    <cfRule type="cellIs" dxfId="674" priority="147" stopIfTrue="1" operator="equal">
      <formula>"In progress"</formula>
    </cfRule>
    <cfRule type="cellIs" dxfId="673" priority="148" stopIfTrue="1" operator="equal">
      <formula>"Passed"</formula>
    </cfRule>
  </conditionalFormatting>
  <conditionalFormatting sqref="G42:G43">
    <cfRule type="cellIs" dxfId="672" priority="141" operator="equal">
      <formula>"N/A"</formula>
    </cfRule>
    <cfRule type="cellIs" dxfId="671" priority="142" stopIfTrue="1" operator="equal">
      <formula>"Failed"</formula>
    </cfRule>
    <cfRule type="cellIs" dxfId="670" priority="143" stopIfTrue="1" operator="equal">
      <formula>"In progress"</formula>
    </cfRule>
    <cfRule type="cellIs" dxfId="669" priority="144" stopIfTrue="1" operator="equal">
      <formula>"Passed"</formula>
    </cfRule>
  </conditionalFormatting>
  <conditionalFormatting sqref="G31">
    <cfRule type="cellIs" dxfId="668" priority="137" operator="equal">
      <formula>"N/A"</formula>
    </cfRule>
    <cfRule type="cellIs" dxfId="667" priority="138" stopIfTrue="1" operator="equal">
      <formula>"Failed"</formula>
    </cfRule>
    <cfRule type="cellIs" dxfId="666" priority="139" stopIfTrue="1" operator="equal">
      <formula>"In progress"</formula>
    </cfRule>
    <cfRule type="cellIs" dxfId="665" priority="140" stopIfTrue="1" operator="equal">
      <formula>"Passed"</formula>
    </cfRule>
  </conditionalFormatting>
  <conditionalFormatting sqref="G39">
    <cfRule type="cellIs" dxfId="664" priority="133" operator="equal">
      <formula>"N/A"</formula>
    </cfRule>
    <cfRule type="cellIs" dxfId="663" priority="134" stopIfTrue="1" operator="equal">
      <formula>"Failed"</formula>
    </cfRule>
    <cfRule type="cellIs" dxfId="662" priority="135" stopIfTrue="1" operator="equal">
      <formula>"In progress"</formula>
    </cfRule>
    <cfRule type="cellIs" dxfId="661" priority="136" stopIfTrue="1" operator="equal">
      <formula>"Passed"</formula>
    </cfRule>
  </conditionalFormatting>
  <conditionalFormatting sqref="G40">
    <cfRule type="cellIs" dxfId="660" priority="129" operator="equal">
      <formula>"N/A"</formula>
    </cfRule>
    <cfRule type="cellIs" dxfId="659" priority="130" stopIfTrue="1" operator="equal">
      <formula>"Failed"</formula>
    </cfRule>
    <cfRule type="cellIs" dxfId="658" priority="131" stopIfTrue="1" operator="equal">
      <formula>"In progress"</formula>
    </cfRule>
    <cfRule type="cellIs" dxfId="657" priority="132" stopIfTrue="1" operator="equal">
      <formula>"Passed"</formula>
    </cfRule>
  </conditionalFormatting>
  <conditionalFormatting sqref="G41">
    <cfRule type="cellIs" dxfId="656" priority="125" operator="equal">
      <formula>"N/A"</formula>
    </cfRule>
    <cfRule type="cellIs" dxfId="655" priority="126" stopIfTrue="1" operator="equal">
      <formula>"Failed"</formula>
    </cfRule>
    <cfRule type="cellIs" dxfId="654" priority="127" stopIfTrue="1" operator="equal">
      <formula>"In progress"</formula>
    </cfRule>
    <cfRule type="cellIs" dxfId="653" priority="128" stopIfTrue="1" operator="equal">
      <formula>"Passed"</formula>
    </cfRule>
  </conditionalFormatting>
  <conditionalFormatting sqref="G44">
    <cfRule type="cellIs" dxfId="652" priority="121" operator="equal">
      <formula>"N/A"</formula>
    </cfRule>
    <cfRule type="cellIs" dxfId="651" priority="122" stopIfTrue="1" operator="equal">
      <formula>"Failed"</formula>
    </cfRule>
    <cfRule type="cellIs" dxfId="650" priority="123" stopIfTrue="1" operator="equal">
      <formula>"In progress"</formula>
    </cfRule>
    <cfRule type="cellIs" dxfId="649" priority="124" stopIfTrue="1" operator="equal">
      <formula>"Passed"</formula>
    </cfRule>
  </conditionalFormatting>
  <conditionalFormatting sqref="G45">
    <cfRule type="cellIs" dxfId="648" priority="117" operator="equal">
      <formula>"N/A"</formula>
    </cfRule>
    <cfRule type="cellIs" dxfId="647" priority="118" stopIfTrue="1" operator="equal">
      <formula>"Failed"</formula>
    </cfRule>
    <cfRule type="cellIs" dxfId="646" priority="119" stopIfTrue="1" operator="equal">
      <formula>"In progress"</formula>
    </cfRule>
    <cfRule type="cellIs" dxfId="645" priority="120" stopIfTrue="1" operator="equal">
      <formula>"Passed"</formula>
    </cfRule>
  </conditionalFormatting>
  <conditionalFormatting sqref="G46:G51">
    <cfRule type="cellIs" dxfId="644" priority="113" operator="equal">
      <formula>"N/A"</formula>
    </cfRule>
    <cfRule type="cellIs" dxfId="643" priority="114" stopIfTrue="1" operator="equal">
      <formula>"Failed"</formula>
    </cfRule>
    <cfRule type="cellIs" dxfId="642" priority="115" stopIfTrue="1" operator="equal">
      <formula>"In progress"</formula>
    </cfRule>
    <cfRule type="cellIs" dxfId="641" priority="116" stopIfTrue="1" operator="equal">
      <formula>"Passed"</formula>
    </cfRule>
  </conditionalFormatting>
  <conditionalFormatting sqref="G34">
    <cfRule type="cellIs" dxfId="640" priority="109" operator="equal">
      <formula>"N/A"</formula>
    </cfRule>
    <cfRule type="cellIs" dxfId="639" priority="110" stopIfTrue="1" operator="equal">
      <formula>"Failed"</formula>
    </cfRule>
    <cfRule type="cellIs" dxfId="638" priority="111" stopIfTrue="1" operator="equal">
      <formula>"In progress"</formula>
    </cfRule>
    <cfRule type="cellIs" dxfId="637" priority="112" stopIfTrue="1" operator="equal">
      <formula>"Passed"</formula>
    </cfRule>
  </conditionalFormatting>
  <conditionalFormatting sqref="G53">
    <cfRule type="cellIs" dxfId="636" priority="105" operator="equal">
      <formula>"N/A"</formula>
    </cfRule>
    <cfRule type="cellIs" dxfId="635" priority="106" stopIfTrue="1" operator="equal">
      <formula>"Failed"</formula>
    </cfRule>
    <cfRule type="cellIs" dxfId="634" priority="107" stopIfTrue="1" operator="equal">
      <formula>"In progress"</formula>
    </cfRule>
    <cfRule type="cellIs" dxfId="633" priority="108" stopIfTrue="1" operator="equal">
      <formula>"Passed"</formula>
    </cfRule>
  </conditionalFormatting>
  <conditionalFormatting sqref="G54">
    <cfRule type="cellIs" dxfId="632" priority="101" operator="equal">
      <formula>"N/A"</formula>
    </cfRule>
    <cfRule type="cellIs" dxfId="631" priority="102" stopIfTrue="1" operator="equal">
      <formula>"Failed"</formula>
    </cfRule>
    <cfRule type="cellIs" dxfId="630" priority="103" stopIfTrue="1" operator="equal">
      <formula>"In progress"</formula>
    </cfRule>
    <cfRule type="cellIs" dxfId="629" priority="104" stopIfTrue="1" operator="equal">
      <formula>"Passed"</formula>
    </cfRule>
  </conditionalFormatting>
  <conditionalFormatting sqref="G55">
    <cfRule type="cellIs" dxfId="628" priority="97" operator="equal">
      <formula>"N/A"</formula>
    </cfRule>
    <cfRule type="cellIs" dxfId="627" priority="98" stopIfTrue="1" operator="equal">
      <formula>"Failed"</formula>
    </cfRule>
    <cfRule type="cellIs" dxfId="626" priority="99" stopIfTrue="1" operator="equal">
      <formula>"In progress"</formula>
    </cfRule>
    <cfRule type="cellIs" dxfId="625" priority="100" stopIfTrue="1" operator="equal">
      <formula>"Passed"</formula>
    </cfRule>
  </conditionalFormatting>
  <conditionalFormatting sqref="G56">
    <cfRule type="cellIs" dxfId="624" priority="93" operator="equal">
      <formula>"N/A"</formula>
    </cfRule>
    <cfRule type="cellIs" dxfId="623" priority="94" stopIfTrue="1" operator="equal">
      <formula>"Failed"</formula>
    </cfRule>
    <cfRule type="cellIs" dxfId="622" priority="95" stopIfTrue="1" operator="equal">
      <formula>"In progress"</formula>
    </cfRule>
    <cfRule type="cellIs" dxfId="621" priority="96" stopIfTrue="1" operator="equal">
      <formula>"Passed"</formula>
    </cfRule>
  </conditionalFormatting>
  <conditionalFormatting sqref="G59">
    <cfRule type="cellIs" dxfId="620" priority="89" operator="equal">
      <formula>"N/A"</formula>
    </cfRule>
    <cfRule type="cellIs" dxfId="619" priority="90" stopIfTrue="1" operator="equal">
      <formula>"Failed"</formula>
    </cfRule>
    <cfRule type="cellIs" dxfId="618" priority="91" stopIfTrue="1" operator="equal">
      <formula>"In progress"</formula>
    </cfRule>
    <cfRule type="cellIs" dxfId="617" priority="92" stopIfTrue="1" operator="equal">
      <formula>"Passed"</formula>
    </cfRule>
  </conditionalFormatting>
  <conditionalFormatting sqref="G60">
    <cfRule type="cellIs" dxfId="616" priority="85" operator="equal">
      <formula>"N/A"</formula>
    </cfRule>
    <cfRule type="cellIs" dxfId="615" priority="86" stopIfTrue="1" operator="equal">
      <formula>"Failed"</formula>
    </cfRule>
    <cfRule type="cellIs" dxfId="614" priority="87" stopIfTrue="1" operator="equal">
      <formula>"In progress"</formula>
    </cfRule>
    <cfRule type="cellIs" dxfId="613" priority="88" stopIfTrue="1" operator="equal">
      <formula>"Passed"</formula>
    </cfRule>
  </conditionalFormatting>
  <conditionalFormatting sqref="G61">
    <cfRule type="cellIs" dxfId="612" priority="81" operator="equal">
      <formula>"N/A"</formula>
    </cfRule>
    <cfRule type="cellIs" dxfId="611" priority="82" stopIfTrue="1" operator="equal">
      <formula>"Failed"</formula>
    </cfRule>
    <cfRule type="cellIs" dxfId="610" priority="83" stopIfTrue="1" operator="equal">
      <formula>"In progress"</formula>
    </cfRule>
    <cfRule type="cellIs" dxfId="609" priority="84" stopIfTrue="1" operator="equal">
      <formula>"Passed"</formula>
    </cfRule>
  </conditionalFormatting>
  <conditionalFormatting sqref="G63">
    <cfRule type="cellIs" dxfId="608" priority="77" operator="equal">
      <formula>"N/A"</formula>
    </cfRule>
    <cfRule type="cellIs" dxfId="607" priority="78" stopIfTrue="1" operator="equal">
      <formula>"Failed"</formula>
    </cfRule>
    <cfRule type="cellIs" dxfId="606" priority="79" stopIfTrue="1" operator="equal">
      <formula>"In progress"</formula>
    </cfRule>
    <cfRule type="cellIs" dxfId="605" priority="80" stopIfTrue="1" operator="equal">
      <formula>"Passed"</formula>
    </cfRule>
  </conditionalFormatting>
  <conditionalFormatting sqref="G65">
    <cfRule type="cellIs" dxfId="604" priority="73" operator="equal">
      <formula>"N/A"</formula>
    </cfRule>
    <cfRule type="cellIs" dxfId="603" priority="74" stopIfTrue="1" operator="equal">
      <formula>"Failed"</formula>
    </cfRule>
    <cfRule type="cellIs" dxfId="602" priority="75" stopIfTrue="1" operator="equal">
      <formula>"In progress"</formula>
    </cfRule>
    <cfRule type="cellIs" dxfId="601" priority="76" stopIfTrue="1" operator="equal">
      <formula>"Passed"</formula>
    </cfRule>
  </conditionalFormatting>
  <conditionalFormatting sqref="G69">
    <cfRule type="cellIs" dxfId="600" priority="69" operator="equal">
      <formula>"N/A"</formula>
    </cfRule>
    <cfRule type="cellIs" dxfId="599" priority="70" stopIfTrue="1" operator="equal">
      <formula>"Failed"</formula>
    </cfRule>
    <cfRule type="cellIs" dxfId="598" priority="71" stopIfTrue="1" operator="equal">
      <formula>"In progress"</formula>
    </cfRule>
    <cfRule type="cellIs" dxfId="597" priority="72" stopIfTrue="1" operator="equal">
      <formula>"Passed"</formula>
    </cfRule>
  </conditionalFormatting>
  <conditionalFormatting sqref="G68">
    <cfRule type="cellIs" dxfId="596" priority="65" operator="equal">
      <formula>"N/A"</formula>
    </cfRule>
    <cfRule type="cellIs" dxfId="595" priority="66" stopIfTrue="1" operator="equal">
      <formula>"Failed"</formula>
    </cfRule>
    <cfRule type="cellIs" dxfId="594" priority="67" stopIfTrue="1" operator="equal">
      <formula>"In progress"</formula>
    </cfRule>
    <cfRule type="cellIs" dxfId="593" priority="68" stopIfTrue="1" operator="equal">
      <formula>"Passed"</formula>
    </cfRule>
  </conditionalFormatting>
  <conditionalFormatting sqref="G72">
    <cfRule type="cellIs" dxfId="592" priority="61" operator="equal">
      <formula>"N/A"</formula>
    </cfRule>
    <cfRule type="cellIs" dxfId="591" priority="62" stopIfTrue="1" operator="equal">
      <formula>"Failed"</formula>
    </cfRule>
    <cfRule type="cellIs" dxfId="590" priority="63" stopIfTrue="1" operator="equal">
      <formula>"In progress"</formula>
    </cfRule>
    <cfRule type="cellIs" dxfId="589" priority="64" stopIfTrue="1" operator="equal">
      <formula>"Passed"</formula>
    </cfRule>
  </conditionalFormatting>
  <conditionalFormatting sqref="G71">
    <cfRule type="cellIs" dxfId="588" priority="57" operator="equal">
      <formula>"N/A"</formula>
    </cfRule>
    <cfRule type="cellIs" dxfId="587" priority="58" stopIfTrue="1" operator="equal">
      <formula>"Failed"</formula>
    </cfRule>
    <cfRule type="cellIs" dxfId="586" priority="59" stopIfTrue="1" operator="equal">
      <formula>"In progress"</formula>
    </cfRule>
    <cfRule type="cellIs" dxfId="585" priority="60" stopIfTrue="1" operator="equal">
      <formula>"Passed"</formula>
    </cfRule>
  </conditionalFormatting>
  <conditionalFormatting sqref="G62">
    <cfRule type="cellIs" dxfId="584" priority="53" operator="equal">
      <formula>"N/A"</formula>
    </cfRule>
    <cfRule type="cellIs" dxfId="583" priority="54" stopIfTrue="1" operator="equal">
      <formula>"Failed"</formula>
    </cfRule>
    <cfRule type="cellIs" dxfId="582" priority="55" stopIfTrue="1" operator="equal">
      <formula>"In progress"</formula>
    </cfRule>
    <cfRule type="cellIs" dxfId="581" priority="56" stopIfTrue="1" operator="equal">
      <formula>"Passed"</formula>
    </cfRule>
  </conditionalFormatting>
  <conditionalFormatting sqref="G66">
    <cfRule type="cellIs" dxfId="580" priority="45" operator="equal">
      <formula>"N/A"</formula>
    </cfRule>
    <cfRule type="cellIs" dxfId="579" priority="46" stopIfTrue="1" operator="equal">
      <formula>"Failed"</formula>
    </cfRule>
    <cfRule type="cellIs" dxfId="578" priority="47" stopIfTrue="1" operator="equal">
      <formula>"In progress"</formula>
    </cfRule>
    <cfRule type="cellIs" dxfId="577" priority="48" stopIfTrue="1" operator="equal">
      <formula>"Passed"</formula>
    </cfRule>
  </conditionalFormatting>
  <conditionalFormatting sqref="G78">
    <cfRule type="cellIs" dxfId="576" priority="41" operator="equal">
      <formula>"N/A"</formula>
    </cfRule>
    <cfRule type="cellIs" dxfId="575" priority="42" stopIfTrue="1" operator="equal">
      <formula>"Failed"</formula>
    </cfRule>
    <cfRule type="cellIs" dxfId="574" priority="43" stopIfTrue="1" operator="equal">
      <formula>"In progress"</formula>
    </cfRule>
    <cfRule type="cellIs" dxfId="573" priority="44" stopIfTrue="1" operator="equal">
      <formula>"Passed"</formula>
    </cfRule>
  </conditionalFormatting>
  <conditionalFormatting sqref="G77">
    <cfRule type="cellIs" dxfId="572" priority="37" operator="equal">
      <formula>"N/A"</formula>
    </cfRule>
    <cfRule type="cellIs" dxfId="571" priority="38" stopIfTrue="1" operator="equal">
      <formula>"Failed"</formula>
    </cfRule>
    <cfRule type="cellIs" dxfId="570" priority="39" stopIfTrue="1" operator="equal">
      <formula>"In progress"</formula>
    </cfRule>
    <cfRule type="cellIs" dxfId="569" priority="40" stopIfTrue="1" operator="equal">
      <formula>"Passed"</formula>
    </cfRule>
  </conditionalFormatting>
  <conditionalFormatting sqref="G79">
    <cfRule type="cellIs" dxfId="568" priority="33" operator="equal">
      <formula>"N/A"</formula>
    </cfRule>
    <cfRule type="cellIs" dxfId="567" priority="34" stopIfTrue="1" operator="equal">
      <formula>"Failed"</formula>
    </cfRule>
    <cfRule type="cellIs" dxfId="566" priority="35" stopIfTrue="1" operator="equal">
      <formula>"In progress"</formula>
    </cfRule>
    <cfRule type="cellIs" dxfId="565" priority="36" stopIfTrue="1" operator="equal">
      <formula>"Passed"</formula>
    </cfRule>
  </conditionalFormatting>
  <conditionalFormatting sqref="G57">
    <cfRule type="cellIs" dxfId="564" priority="29" operator="equal">
      <formula>"N/A"</formula>
    </cfRule>
    <cfRule type="cellIs" dxfId="563" priority="30" stopIfTrue="1" operator="equal">
      <formula>"Failed"</formula>
    </cfRule>
    <cfRule type="cellIs" dxfId="562" priority="31" stopIfTrue="1" operator="equal">
      <formula>"In progress"</formula>
    </cfRule>
    <cfRule type="cellIs" dxfId="561" priority="32" stopIfTrue="1" operator="equal">
      <formula>"Passed"</formula>
    </cfRule>
  </conditionalFormatting>
  <conditionalFormatting sqref="G58">
    <cfRule type="cellIs" dxfId="560" priority="25" operator="equal">
      <formula>"N/A"</formula>
    </cfRule>
    <cfRule type="cellIs" dxfId="559" priority="26" stopIfTrue="1" operator="equal">
      <formula>"Failed"</formula>
    </cfRule>
    <cfRule type="cellIs" dxfId="558" priority="27" stopIfTrue="1" operator="equal">
      <formula>"In progress"</formula>
    </cfRule>
    <cfRule type="cellIs" dxfId="557" priority="28" stopIfTrue="1" operator="equal">
      <formula>"Passed"</formula>
    </cfRule>
  </conditionalFormatting>
  <conditionalFormatting sqref="G70">
    <cfRule type="cellIs" dxfId="556" priority="21" operator="equal">
      <formula>"N/A"</formula>
    </cfRule>
    <cfRule type="cellIs" dxfId="555" priority="22" stopIfTrue="1" operator="equal">
      <formula>"Failed"</formula>
    </cfRule>
    <cfRule type="cellIs" dxfId="554" priority="23" stopIfTrue="1" operator="equal">
      <formula>"In progress"</formula>
    </cfRule>
    <cfRule type="cellIs" dxfId="553" priority="24" stopIfTrue="1" operator="equal">
      <formula>"Passed"</formula>
    </cfRule>
  </conditionalFormatting>
  <conditionalFormatting sqref="G73">
    <cfRule type="cellIs" dxfId="552" priority="17" operator="equal">
      <formula>"N/A"</formula>
    </cfRule>
    <cfRule type="cellIs" dxfId="551" priority="18" stopIfTrue="1" operator="equal">
      <formula>"Failed"</formula>
    </cfRule>
    <cfRule type="cellIs" dxfId="550" priority="19" stopIfTrue="1" operator="equal">
      <formula>"In progress"</formula>
    </cfRule>
    <cfRule type="cellIs" dxfId="549" priority="20" stopIfTrue="1" operator="equal">
      <formula>"Passed"</formula>
    </cfRule>
  </conditionalFormatting>
  <conditionalFormatting sqref="G74">
    <cfRule type="cellIs" dxfId="548" priority="13" operator="equal">
      <formula>"N/A"</formula>
    </cfRule>
    <cfRule type="cellIs" dxfId="547" priority="14" stopIfTrue="1" operator="equal">
      <formula>"Failed"</formula>
    </cfRule>
    <cfRule type="cellIs" dxfId="546" priority="15" stopIfTrue="1" operator="equal">
      <formula>"In progress"</formula>
    </cfRule>
    <cfRule type="cellIs" dxfId="545" priority="16" stopIfTrue="1" operator="equal">
      <formula>"Passed"</formula>
    </cfRule>
  </conditionalFormatting>
  <conditionalFormatting sqref="G75">
    <cfRule type="cellIs" dxfId="544" priority="5" operator="equal">
      <formula>"N/A"</formula>
    </cfRule>
    <cfRule type="cellIs" dxfId="543" priority="6" stopIfTrue="1" operator="equal">
      <formula>"Failed"</formula>
    </cfRule>
    <cfRule type="cellIs" dxfId="542" priority="7" stopIfTrue="1" operator="equal">
      <formula>"In progress"</formula>
    </cfRule>
    <cfRule type="cellIs" dxfId="541" priority="8" stopIfTrue="1" operator="equal">
      <formula>"Passed"</formula>
    </cfRule>
  </conditionalFormatting>
  <conditionalFormatting sqref="G76">
    <cfRule type="cellIs" dxfId="540" priority="1" operator="equal">
      <formula>"N/A"</formula>
    </cfRule>
    <cfRule type="cellIs" dxfId="539" priority="2" stopIfTrue="1" operator="equal">
      <formula>"Failed"</formula>
    </cfRule>
    <cfRule type="cellIs" dxfId="538" priority="3" stopIfTrue="1" operator="equal">
      <formula>"In progress"</formula>
    </cfRule>
    <cfRule type="cellIs" dxfId="537" priority="4" stopIfTrue="1" operator="equal">
      <formula>"Passed"</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N138"/>
  <sheetViews>
    <sheetView zoomScale="80" zoomScaleNormal="80" workbookViewId="0">
      <pane ySplit="3" topLeftCell="A4" activePane="bottomLeft" state="frozen"/>
      <selection pane="bottomLeft" activeCell="F14" sqref="F14"/>
    </sheetView>
  </sheetViews>
  <sheetFormatPr baseColWidth="10" defaultRowHeight="12.75" outlineLevelRow="2" x14ac:dyDescent="0.2"/>
  <cols>
    <col min="1" max="1" width="2.7109375" style="18" customWidth="1"/>
    <col min="2" max="2" width="2.42578125" style="18" customWidth="1"/>
    <col min="3" max="3" width="71.5703125" style="18" customWidth="1"/>
    <col min="4" max="4" width="10.28515625" style="18" customWidth="1"/>
    <col min="5" max="5" width="22.7109375" style="18" customWidth="1"/>
    <col min="6" max="6" width="13.42578125" style="5" customWidth="1"/>
    <col min="7" max="7" width="14.5703125" style="18" customWidth="1"/>
    <col min="8" max="8" width="11.28515625" style="18" customWidth="1"/>
    <col min="9" max="9" width="15.42578125" style="18" customWidth="1"/>
    <col min="10" max="10" width="15.28515625" style="18" bestFit="1" customWidth="1"/>
    <col min="11" max="11" width="14.5703125" style="18" customWidth="1"/>
    <col min="12" max="12" width="94.5703125" style="18" customWidth="1"/>
    <col min="13" max="13" width="2" style="18" customWidth="1"/>
    <col min="14" max="14" width="2.28515625" style="18" customWidth="1"/>
    <col min="15" max="16384" width="11.42578125" style="18"/>
  </cols>
  <sheetData>
    <row r="1" spans="1:14" s="3" customFormat="1" x14ac:dyDescent="0.2">
      <c r="A1" s="2"/>
      <c r="B1" s="2"/>
      <c r="C1" s="20" t="s">
        <v>1</v>
      </c>
      <c r="D1" s="20" t="s">
        <v>0</v>
      </c>
      <c r="E1" s="19" t="s">
        <v>2</v>
      </c>
      <c r="F1" s="19" t="s">
        <v>3</v>
      </c>
      <c r="G1" s="19" t="s">
        <v>4</v>
      </c>
      <c r="H1" s="19" t="s">
        <v>5</v>
      </c>
      <c r="I1" s="21" t="s">
        <v>6</v>
      </c>
      <c r="J1" s="21" t="s">
        <v>7</v>
      </c>
      <c r="K1" s="21" t="s">
        <v>8</v>
      </c>
      <c r="L1" s="19" t="s">
        <v>9</v>
      </c>
      <c r="M1" s="19"/>
      <c r="N1" s="19"/>
    </row>
    <row r="2" spans="1:14" s="11" customFormat="1" outlineLevel="1" x14ac:dyDescent="0.2">
      <c r="A2" s="6" t="s">
        <v>134</v>
      </c>
      <c r="B2" s="7"/>
      <c r="C2" s="8"/>
      <c r="D2" s="9"/>
      <c r="E2" s="9"/>
      <c r="F2" s="9"/>
      <c r="G2" s="9"/>
      <c r="H2" s="9"/>
      <c r="I2" s="10"/>
      <c r="J2" s="10"/>
      <c r="K2" s="10"/>
      <c r="L2" s="8"/>
      <c r="M2" s="23"/>
      <c r="N2" s="22"/>
    </row>
    <row r="3" spans="1:14" s="4" customFormat="1" outlineLevel="2" x14ac:dyDescent="0.2">
      <c r="A3" s="12"/>
      <c r="B3" s="13" t="s">
        <v>120</v>
      </c>
      <c r="C3" s="25"/>
      <c r="D3" s="30"/>
      <c r="E3" s="27"/>
      <c r="F3" s="27"/>
      <c r="G3" s="24"/>
      <c r="H3" s="24"/>
      <c r="I3" s="26"/>
      <c r="J3" s="26"/>
      <c r="K3" s="26"/>
      <c r="L3" s="25"/>
      <c r="M3" s="23"/>
      <c r="N3" s="22"/>
    </row>
    <row r="4" spans="1:14" x14ac:dyDescent="0.2">
      <c r="A4" s="37"/>
      <c r="B4" s="23"/>
      <c r="C4" s="45"/>
      <c r="D4" s="46"/>
      <c r="E4" s="47"/>
      <c r="F4" s="47"/>
      <c r="G4" s="48"/>
      <c r="H4" s="49"/>
      <c r="I4" s="51"/>
      <c r="J4" s="50"/>
      <c r="K4" s="45"/>
      <c r="L4" s="45"/>
      <c r="M4" s="35"/>
      <c r="N4" s="36"/>
    </row>
    <row r="5" spans="1:14" s="11" customFormat="1" ht="15.75" customHeight="1" outlineLevel="1" x14ac:dyDescent="0.2">
      <c r="A5" s="6"/>
      <c r="B5" s="7"/>
      <c r="C5" s="8"/>
      <c r="D5" s="9"/>
      <c r="E5" s="9"/>
      <c r="F5" s="9"/>
      <c r="G5" s="9"/>
      <c r="H5" s="9"/>
      <c r="I5" s="10"/>
      <c r="J5" s="10"/>
      <c r="K5" s="10"/>
      <c r="L5" s="8"/>
      <c r="M5" s="23"/>
      <c r="N5" s="22"/>
    </row>
    <row r="6" spans="1:14" s="4" customFormat="1" outlineLevel="2" x14ac:dyDescent="0.2">
      <c r="A6" s="69" t="s">
        <v>105</v>
      </c>
      <c r="B6" s="70"/>
      <c r="C6" s="71"/>
      <c r="D6" s="71"/>
      <c r="E6" s="72"/>
      <c r="F6" s="73"/>
      <c r="G6" s="73"/>
      <c r="H6" s="72"/>
      <c r="I6" s="74"/>
      <c r="J6" s="74"/>
      <c r="K6" s="74"/>
      <c r="L6" s="71"/>
      <c r="M6" s="70"/>
      <c r="N6" s="69"/>
    </row>
    <row r="7" spans="1:14" s="124" customFormat="1" outlineLevel="2" x14ac:dyDescent="0.2">
      <c r="A7" s="12"/>
      <c r="B7" s="13" t="s">
        <v>1001</v>
      </c>
      <c r="C7" s="179"/>
      <c r="D7" s="178"/>
      <c r="E7" s="178"/>
      <c r="F7" s="178"/>
      <c r="G7" s="178"/>
      <c r="H7" s="153"/>
      <c r="I7" s="153">
        <f>J60</f>
        <v>42624.223611111098</v>
      </c>
      <c r="J7" s="153">
        <f>I7+H7</f>
        <v>42624.223611111098</v>
      </c>
      <c r="K7" s="180"/>
      <c r="L7" s="179"/>
      <c r="M7" s="172"/>
      <c r="N7" s="173"/>
    </row>
    <row r="8" spans="1:14" s="124" customFormat="1" outlineLevel="2" x14ac:dyDescent="0.2">
      <c r="A8" s="128" t="s">
        <v>976</v>
      </c>
      <c r="B8" s="129"/>
      <c r="C8" s="191" t="s">
        <v>154</v>
      </c>
      <c r="D8" s="143"/>
      <c r="E8" s="185" t="s">
        <v>155</v>
      </c>
      <c r="F8" s="194" t="s">
        <v>1002</v>
      </c>
      <c r="G8" s="274" t="s">
        <v>716</v>
      </c>
      <c r="H8" s="186">
        <v>6.9444444444444441E-3</v>
      </c>
      <c r="I8" s="68">
        <v>42623.875</v>
      </c>
      <c r="J8" s="68">
        <f>I8+H8</f>
        <v>42623.881944444445</v>
      </c>
      <c r="K8" s="58"/>
      <c r="L8" s="222"/>
      <c r="M8" s="129"/>
      <c r="N8" s="128"/>
    </row>
    <row r="9" spans="1:14" s="124" customFormat="1" outlineLevel="2" x14ac:dyDescent="0.2">
      <c r="A9" s="128"/>
      <c r="B9" s="129"/>
      <c r="C9" s="191" t="s">
        <v>157</v>
      </c>
      <c r="D9" s="143"/>
      <c r="E9" s="185" t="s">
        <v>155</v>
      </c>
      <c r="F9" s="194" t="s">
        <v>1002</v>
      </c>
      <c r="G9" s="221" t="s">
        <v>712</v>
      </c>
      <c r="H9" s="186">
        <v>6.9444444444444441E-3</v>
      </c>
      <c r="I9" s="68">
        <f>J8</f>
        <v>42623.881944444445</v>
      </c>
      <c r="J9" s="68">
        <f t="shared" ref="J9" si="0">I9+H9</f>
        <v>42623.888888888891</v>
      </c>
      <c r="K9" s="58"/>
      <c r="L9" s="143"/>
      <c r="M9" s="129"/>
      <c r="N9" s="128"/>
    </row>
    <row r="10" spans="1:14" s="124" customFormat="1" outlineLevel="2" x14ac:dyDescent="0.2">
      <c r="A10" s="173"/>
      <c r="B10" s="172"/>
      <c r="C10" s="191" t="s">
        <v>960</v>
      </c>
      <c r="D10" s="191"/>
      <c r="E10" s="191" t="s">
        <v>155</v>
      </c>
      <c r="F10" s="194" t="s">
        <v>1002</v>
      </c>
      <c r="G10" s="191" t="s">
        <v>712</v>
      </c>
      <c r="H10" s="186">
        <v>6.9444444444444441E-3</v>
      </c>
      <c r="I10" s="68">
        <f>J9</f>
        <v>42623.888888888891</v>
      </c>
      <c r="J10" s="68">
        <f t="shared" ref="J10" si="1">I10+H10</f>
        <v>42623.895833333336</v>
      </c>
      <c r="K10" s="191"/>
      <c r="L10" s="191"/>
      <c r="M10" s="172"/>
      <c r="N10" s="173"/>
    </row>
    <row r="11" spans="1:14" s="124" customFormat="1" outlineLevel="2" x14ac:dyDescent="0.2">
      <c r="A11" s="128"/>
      <c r="B11" s="129"/>
      <c r="C11" s="186" t="s">
        <v>158</v>
      </c>
      <c r="D11" s="143"/>
      <c r="E11" s="185" t="s">
        <v>155</v>
      </c>
      <c r="F11" s="194" t="s">
        <v>1002</v>
      </c>
      <c r="G11" s="274" t="s">
        <v>716</v>
      </c>
      <c r="H11" s="186">
        <v>6.9444444444444441E-3</v>
      </c>
      <c r="I11" s="68">
        <f>J9</f>
        <v>42623.888888888891</v>
      </c>
      <c r="J11" s="68">
        <f t="shared" ref="J11:J14" si="2">I11+H11</f>
        <v>42623.895833333336</v>
      </c>
      <c r="K11" s="58"/>
      <c r="L11" s="143"/>
      <c r="M11" s="129"/>
      <c r="N11" s="128"/>
    </row>
    <row r="12" spans="1:14" s="124" customFormat="1" ht="25.5" outlineLevel="2" x14ac:dyDescent="0.2">
      <c r="A12" s="128"/>
      <c r="B12" s="129"/>
      <c r="C12" s="186" t="s">
        <v>159</v>
      </c>
      <c r="D12" s="143"/>
      <c r="E12" s="185" t="s">
        <v>155</v>
      </c>
      <c r="F12" s="194" t="s">
        <v>1002</v>
      </c>
      <c r="G12" s="274" t="s">
        <v>716</v>
      </c>
      <c r="H12" s="186">
        <v>3.472222222222222E-3</v>
      </c>
      <c r="I12" s="68">
        <f>J11</f>
        <v>42623.895833333336</v>
      </c>
      <c r="J12" s="68">
        <f t="shared" si="2"/>
        <v>42623.899305555555</v>
      </c>
      <c r="K12" s="58"/>
      <c r="L12" s="143"/>
      <c r="M12" s="129"/>
      <c r="N12" s="128"/>
    </row>
    <row r="13" spans="1:14" s="11" customFormat="1" outlineLevel="2" x14ac:dyDescent="0.2">
      <c r="A13" s="128"/>
      <c r="B13" s="129"/>
      <c r="C13" s="186" t="s">
        <v>161</v>
      </c>
      <c r="D13" s="143"/>
      <c r="E13" s="185" t="s">
        <v>155</v>
      </c>
      <c r="F13" s="194" t="s">
        <v>1002</v>
      </c>
      <c r="G13" s="274" t="s">
        <v>716</v>
      </c>
      <c r="H13" s="186">
        <v>3.472222222222222E-3</v>
      </c>
      <c r="I13" s="68">
        <f>J12</f>
        <v>42623.899305555555</v>
      </c>
      <c r="J13" s="68">
        <f t="shared" si="2"/>
        <v>42623.902777777774</v>
      </c>
      <c r="K13" s="58"/>
      <c r="L13" s="143"/>
      <c r="M13" s="129"/>
      <c r="N13" s="128"/>
    </row>
    <row r="14" spans="1:14" s="11" customFormat="1" outlineLevel="2" x14ac:dyDescent="0.2">
      <c r="A14" s="128"/>
      <c r="B14" s="129"/>
      <c r="C14" s="186" t="s">
        <v>207</v>
      </c>
      <c r="D14" s="143"/>
      <c r="E14" s="185" t="s">
        <v>155</v>
      </c>
      <c r="F14" s="194" t="s">
        <v>1002</v>
      </c>
      <c r="G14" s="274" t="s">
        <v>716</v>
      </c>
      <c r="H14" s="186">
        <v>3.472222222222222E-3</v>
      </c>
      <c r="I14" s="68">
        <f>J13</f>
        <v>42623.902777777774</v>
      </c>
      <c r="J14" s="68">
        <f t="shared" si="2"/>
        <v>42623.906249999993</v>
      </c>
      <c r="K14" s="58"/>
      <c r="L14" s="143"/>
      <c r="M14" s="129"/>
      <c r="N14" s="128"/>
    </row>
    <row r="15" spans="1:14" s="11" customFormat="1" outlineLevel="2" x14ac:dyDescent="0.2">
      <c r="A15" s="128"/>
      <c r="B15" s="129"/>
      <c r="C15" s="191" t="s">
        <v>206</v>
      </c>
      <c r="D15" s="143"/>
      <c r="E15" s="185" t="s">
        <v>155</v>
      </c>
      <c r="F15" s="194" t="s">
        <v>1002</v>
      </c>
      <c r="G15" s="221" t="s">
        <v>1116</v>
      </c>
      <c r="H15" s="200">
        <v>3.472222222222222E-3</v>
      </c>
      <c r="I15" s="68">
        <f t="shared" ref="I15:I22" si="3">J14</f>
        <v>42623.906249999993</v>
      </c>
      <c r="J15" s="68">
        <f t="shared" ref="J15:J22" si="4">I15+H15</f>
        <v>42623.909722222212</v>
      </c>
      <c r="K15" s="58"/>
      <c r="L15" s="143"/>
      <c r="M15" s="129"/>
      <c r="N15" s="128"/>
    </row>
    <row r="16" spans="1:14" s="11" customFormat="1" outlineLevel="2" x14ac:dyDescent="0.2">
      <c r="A16" s="12"/>
      <c r="B16" s="13"/>
      <c r="C16" s="66" t="s">
        <v>211</v>
      </c>
      <c r="D16" s="120"/>
      <c r="E16" s="185" t="s">
        <v>155</v>
      </c>
      <c r="F16" s="194" t="s">
        <v>1002</v>
      </c>
      <c r="G16" s="274" t="s">
        <v>716</v>
      </c>
      <c r="H16" s="200">
        <v>3.472222222222222E-3</v>
      </c>
      <c r="I16" s="68">
        <f t="shared" si="3"/>
        <v>42623.909722222212</v>
      </c>
      <c r="J16" s="68">
        <f t="shared" si="4"/>
        <v>42623.913194444431</v>
      </c>
      <c r="K16" s="68"/>
      <c r="L16" s="143"/>
      <c r="M16" s="129"/>
      <c r="N16" s="128"/>
    </row>
    <row r="17" spans="1:14" s="11" customFormat="1" outlineLevel="2" x14ac:dyDescent="0.2">
      <c r="A17" s="12"/>
      <c r="B17" s="13"/>
      <c r="C17" s="66" t="s">
        <v>212</v>
      </c>
      <c r="D17" s="120"/>
      <c r="E17" s="185" t="s">
        <v>155</v>
      </c>
      <c r="F17" s="194" t="s">
        <v>1002</v>
      </c>
      <c r="G17" s="274" t="s">
        <v>716</v>
      </c>
      <c r="H17" s="200">
        <v>3.472222222222222E-3</v>
      </c>
      <c r="I17" s="68">
        <f t="shared" si="3"/>
        <v>42623.913194444431</v>
      </c>
      <c r="J17" s="68">
        <f t="shared" si="4"/>
        <v>42623.91666666665</v>
      </c>
      <c r="K17" s="68"/>
      <c r="L17" s="143"/>
      <c r="M17" s="129"/>
      <c r="N17" s="128"/>
    </row>
    <row r="18" spans="1:14" s="11" customFormat="1" outlineLevel="2" x14ac:dyDescent="0.2">
      <c r="A18" s="12"/>
      <c r="B18" s="13"/>
      <c r="C18" s="186" t="s">
        <v>215</v>
      </c>
      <c r="D18" s="120"/>
      <c r="E18" s="185" t="s">
        <v>155</v>
      </c>
      <c r="F18" s="194" t="s">
        <v>1002</v>
      </c>
      <c r="G18" s="274" t="s">
        <v>716</v>
      </c>
      <c r="H18" s="200">
        <v>3.472222222222222E-3</v>
      </c>
      <c r="I18" s="68">
        <f t="shared" si="3"/>
        <v>42623.91666666665</v>
      </c>
      <c r="J18" s="68">
        <f t="shared" si="4"/>
        <v>42623.920138888869</v>
      </c>
      <c r="K18" s="68"/>
      <c r="L18" s="143"/>
      <c r="M18" s="129"/>
      <c r="N18" s="128"/>
    </row>
    <row r="19" spans="1:14" s="11" customFormat="1" outlineLevel="2" x14ac:dyDescent="0.2">
      <c r="A19" s="12"/>
      <c r="B19" s="13"/>
      <c r="C19" s="186" t="s">
        <v>980</v>
      </c>
      <c r="D19" s="120"/>
      <c r="E19" s="185" t="s">
        <v>155</v>
      </c>
      <c r="F19" s="194" t="s">
        <v>1002</v>
      </c>
      <c r="G19" s="274" t="s">
        <v>716</v>
      </c>
      <c r="H19" s="186">
        <v>3.472222222222222E-3</v>
      </c>
      <c r="I19" s="68">
        <f t="shared" si="3"/>
        <v>42623.920138888869</v>
      </c>
      <c r="J19" s="68">
        <f t="shared" si="4"/>
        <v>42623.923611111088</v>
      </c>
      <c r="K19" s="68"/>
      <c r="L19" s="143"/>
      <c r="M19" s="172"/>
      <c r="N19" s="173"/>
    </row>
    <row r="20" spans="1:14" s="11" customFormat="1" outlineLevel="2" x14ac:dyDescent="0.2">
      <c r="A20" s="12"/>
      <c r="B20" s="172"/>
      <c r="C20" s="186" t="s">
        <v>981</v>
      </c>
      <c r="D20" s="185"/>
      <c r="E20" s="185" t="s">
        <v>155</v>
      </c>
      <c r="F20" s="194" t="s">
        <v>1002</v>
      </c>
      <c r="G20" s="274" t="s">
        <v>716</v>
      </c>
      <c r="H20" s="186">
        <v>3.472222222222222E-3</v>
      </c>
      <c r="I20" s="68">
        <f t="shared" si="3"/>
        <v>42623.923611111088</v>
      </c>
      <c r="J20" s="68">
        <f t="shared" si="4"/>
        <v>42623.927083333307</v>
      </c>
      <c r="K20" s="68"/>
      <c r="L20" s="143"/>
      <c r="M20" s="172"/>
      <c r="N20" s="173"/>
    </row>
    <row r="21" spans="1:14" s="11" customFormat="1" outlineLevel="2" x14ac:dyDescent="0.2">
      <c r="A21" s="12"/>
      <c r="B21" s="172"/>
      <c r="C21" s="186" t="s">
        <v>997</v>
      </c>
      <c r="D21" s="185"/>
      <c r="E21" s="185" t="s">
        <v>155</v>
      </c>
      <c r="F21" s="194" t="s">
        <v>1002</v>
      </c>
      <c r="G21" s="274" t="s">
        <v>716</v>
      </c>
      <c r="H21" s="200">
        <v>3.472222222222222E-3</v>
      </c>
      <c r="I21" s="68">
        <f t="shared" si="3"/>
        <v>42623.927083333307</v>
      </c>
      <c r="J21" s="68">
        <f t="shared" si="4"/>
        <v>42623.930555555526</v>
      </c>
      <c r="K21" s="68"/>
      <c r="L21" s="143"/>
      <c r="M21" s="172"/>
      <c r="N21" s="173"/>
    </row>
    <row r="22" spans="1:14" s="124" customFormat="1" outlineLevel="2" x14ac:dyDescent="0.2">
      <c r="A22" s="173"/>
      <c r="B22" s="174"/>
      <c r="C22" s="68" t="s">
        <v>998</v>
      </c>
      <c r="D22" s="68"/>
      <c r="E22" s="185" t="s">
        <v>155</v>
      </c>
      <c r="F22" s="194" t="s">
        <v>1002</v>
      </c>
      <c r="G22" s="274" t="s">
        <v>716</v>
      </c>
      <c r="H22" s="186">
        <v>3.125E-2</v>
      </c>
      <c r="I22" s="68">
        <f t="shared" si="3"/>
        <v>42623.930555555526</v>
      </c>
      <c r="J22" s="68">
        <f t="shared" si="4"/>
        <v>42623.961805555526</v>
      </c>
      <c r="K22" s="68"/>
      <c r="L22" s="68"/>
      <c r="M22" s="172"/>
      <c r="N22" s="173"/>
    </row>
    <row r="23" spans="1:14" s="4" customFormat="1" outlineLevel="2" x14ac:dyDescent="0.2">
      <c r="A23" s="12"/>
      <c r="B23" s="13" t="s">
        <v>1000</v>
      </c>
      <c r="C23" s="25"/>
      <c r="D23" s="24"/>
      <c r="E23" s="24"/>
      <c r="F23" s="24"/>
      <c r="G23" s="24"/>
      <c r="H23" s="90"/>
      <c r="I23" s="90">
        <f>J76</f>
        <v>42624.263888888861</v>
      </c>
      <c r="J23" s="90">
        <f>I23+H23</f>
        <v>42624.263888888861</v>
      </c>
      <c r="K23" s="26"/>
      <c r="L23" s="25"/>
      <c r="M23" s="23"/>
      <c r="N23" s="22"/>
    </row>
    <row r="24" spans="1:14" s="124" customFormat="1" outlineLevel="2" x14ac:dyDescent="0.2">
      <c r="A24" s="77">
        <v>0</v>
      </c>
      <c r="B24" s="13"/>
      <c r="C24" s="177" t="s">
        <v>162</v>
      </c>
      <c r="D24" s="177"/>
      <c r="E24" s="177" t="s">
        <v>1009</v>
      </c>
      <c r="F24" s="254" t="s">
        <v>949</v>
      </c>
      <c r="G24" s="274" t="s">
        <v>716</v>
      </c>
      <c r="H24" s="176">
        <v>0</v>
      </c>
      <c r="I24" s="177">
        <f>'03 - Export - Import'!J74-0.05</f>
        <v>42623.450694444437</v>
      </c>
      <c r="J24" s="177">
        <f>I24+H24</f>
        <v>42623.450694444437</v>
      </c>
      <c r="K24" s="177"/>
      <c r="L24" s="177" t="s">
        <v>956</v>
      </c>
      <c r="M24" s="172"/>
      <c r="N24" s="173"/>
    </row>
    <row r="25" spans="1:14" s="124" customFormat="1" outlineLevel="2" x14ac:dyDescent="0.2">
      <c r="A25" s="12"/>
      <c r="B25" s="13"/>
      <c r="C25" s="190" t="s">
        <v>163</v>
      </c>
      <c r="D25" s="190"/>
      <c r="E25" s="177" t="s">
        <v>1009</v>
      </c>
      <c r="F25" s="254" t="s">
        <v>949</v>
      </c>
      <c r="G25" s="274" t="s">
        <v>716</v>
      </c>
      <c r="H25" s="189">
        <v>0</v>
      </c>
      <c r="I25" s="190">
        <f>'03 - Export - Import'!J79</f>
        <v>42623.548611111102</v>
      </c>
      <c r="J25" s="190">
        <f>I25+H25</f>
        <v>42623.548611111102</v>
      </c>
      <c r="K25" s="190"/>
      <c r="L25" s="190" t="s">
        <v>1003</v>
      </c>
      <c r="M25" s="172"/>
      <c r="N25" s="173"/>
    </row>
    <row r="26" spans="1:14" s="124" customFormat="1" ht="69" customHeight="1" outlineLevel="2" x14ac:dyDescent="0.2">
      <c r="A26" s="12"/>
      <c r="B26" s="13"/>
      <c r="C26" s="177" t="s">
        <v>957</v>
      </c>
      <c r="D26" s="177"/>
      <c r="E26" s="177" t="s">
        <v>155</v>
      </c>
      <c r="F26" s="254" t="s">
        <v>949</v>
      </c>
      <c r="G26" s="274" t="s">
        <v>716</v>
      </c>
      <c r="H26" s="176">
        <v>4.1666666666666664E-2</v>
      </c>
      <c r="I26" s="177">
        <f>'03 - Export - Import'!J74</f>
        <v>42623.500694444439</v>
      </c>
      <c r="J26" s="177">
        <f t="shared" ref="J26" si="5">I26+H26</f>
        <v>42623.542361111104</v>
      </c>
      <c r="K26" s="177"/>
      <c r="L26" s="177" t="s">
        <v>958</v>
      </c>
      <c r="M26" s="172"/>
      <c r="N26" s="173"/>
    </row>
    <row r="27" spans="1:14" s="124" customFormat="1" ht="63.75" customHeight="1" outlineLevel="2" x14ac:dyDescent="0.2">
      <c r="A27" s="12"/>
      <c r="B27" s="13"/>
      <c r="C27" s="190" t="s">
        <v>959</v>
      </c>
      <c r="D27" s="190"/>
      <c r="E27" s="190" t="s">
        <v>155</v>
      </c>
      <c r="F27" s="254" t="s">
        <v>1011</v>
      </c>
      <c r="G27" s="274" t="s">
        <v>716</v>
      </c>
      <c r="H27" s="189">
        <v>3.125E-2</v>
      </c>
      <c r="I27" s="190">
        <f>'03 - Export - Import'!J74</f>
        <v>42623.500694444439</v>
      </c>
      <c r="J27" s="190">
        <f t="shared" ref="J27:J28" si="6">I27+H27</f>
        <v>42623.531944444439</v>
      </c>
      <c r="K27" s="190"/>
      <c r="L27" s="190" t="s">
        <v>1004</v>
      </c>
      <c r="M27" s="172"/>
      <c r="N27" s="173"/>
    </row>
    <row r="28" spans="1:14" s="124" customFormat="1" ht="63.75" outlineLevel="2" x14ac:dyDescent="0.2">
      <c r="A28" s="173"/>
      <c r="B28" s="174"/>
      <c r="C28" s="190" t="s">
        <v>907</v>
      </c>
      <c r="D28" s="190"/>
      <c r="E28" s="190" t="s">
        <v>155</v>
      </c>
      <c r="F28" s="254" t="s">
        <v>1011</v>
      </c>
      <c r="G28" s="274" t="s">
        <v>716</v>
      </c>
      <c r="H28" s="190"/>
      <c r="I28" s="190">
        <f t="shared" ref="I28" si="7">J27</f>
        <v>42623.531944444439</v>
      </c>
      <c r="J28" s="190">
        <f t="shared" si="6"/>
        <v>42623.531944444439</v>
      </c>
      <c r="K28" s="190"/>
      <c r="L28" s="190" t="s">
        <v>1005</v>
      </c>
      <c r="M28" s="172"/>
      <c r="N28" s="173"/>
    </row>
    <row r="29" spans="1:14" s="11" customFormat="1" ht="283.5" customHeight="1" outlineLevel="2" x14ac:dyDescent="0.2">
      <c r="A29" s="12"/>
      <c r="B29" s="129"/>
      <c r="C29" s="14" t="s">
        <v>137</v>
      </c>
      <c r="D29" s="29">
        <v>1</v>
      </c>
      <c r="E29" s="17" t="s">
        <v>28</v>
      </c>
      <c r="F29" s="17" t="s">
        <v>30</v>
      </c>
      <c r="G29" s="274" t="s">
        <v>716</v>
      </c>
      <c r="H29" s="15">
        <v>1.3888888888888888E-2</v>
      </c>
      <c r="I29" s="177">
        <v>42623.583333333336</v>
      </c>
      <c r="J29" s="177">
        <f t="shared" ref="J29" si="8">I29+H29</f>
        <v>42623.597222222226</v>
      </c>
      <c r="K29" s="16"/>
      <c r="L29" s="160" t="s">
        <v>1094</v>
      </c>
      <c r="M29" s="129"/>
      <c r="N29" s="128"/>
    </row>
    <row r="30" spans="1:14" s="11" customFormat="1" ht="51" outlineLevel="2" x14ac:dyDescent="0.2">
      <c r="A30" s="12"/>
      <c r="B30" s="129"/>
      <c r="C30" s="14" t="s">
        <v>138</v>
      </c>
      <c r="D30" s="29">
        <v>2</v>
      </c>
      <c r="E30" s="17" t="s">
        <v>28</v>
      </c>
      <c r="F30" s="17" t="s">
        <v>30</v>
      </c>
      <c r="G30" s="274" t="s">
        <v>716</v>
      </c>
      <c r="H30" s="15">
        <v>3.472222222222222E-3</v>
      </c>
      <c r="I30" s="177">
        <f t="shared" ref="I30:I53" si="9">J29</f>
        <v>42623.597222222226</v>
      </c>
      <c r="J30" s="177">
        <f t="shared" ref="J30:J53" si="10">I30+H30</f>
        <v>42623.600694444445</v>
      </c>
      <c r="K30" s="16"/>
      <c r="L30" s="16" t="s">
        <v>772</v>
      </c>
      <c r="M30" s="129"/>
      <c r="N30" s="128"/>
    </row>
    <row r="31" spans="1:14" s="11" customFormat="1" ht="38.25" outlineLevel="2" x14ac:dyDescent="0.2">
      <c r="A31" s="12"/>
      <c r="B31" s="129"/>
      <c r="C31" s="14" t="s">
        <v>143</v>
      </c>
      <c r="D31" s="29">
        <v>3</v>
      </c>
      <c r="E31" s="17" t="s">
        <v>28</v>
      </c>
      <c r="F31" s="17" t="s">
        <v>30</v>
      </c>
      <c r="G31" s="274" t="s">
        <v>716</v>
      </c>
      <c r="H31" s="15">
        <v>3.472222222222222E-3</v>
      </c>
      <c r="I31" s="177">
        <f t="shared" si="9"/>
        <v>42623.600694444445</v>
      </c>
      <c r="J31" s="177">
        <f t="shared" si="10"/>
        <v>42623.604166666664</v>
      </c>
      <c r="K31" s="16"/>
      <c r="L31" s="16" t="s">
        <v>144</v>
      </c>
      <c r="M31" s="129"/>
      <c r="N31" s="128"/>
    </row>
    <row r="32" spans="1:14" s="124" customFormat="1" ht="127.5" outlineLevel="2" x14ac:dyDescent="0.2">
      <c r="A32" s="12"/>
      <c r="B32" s="129"/>
      <c r="C32" s="14" t="s">
        <v>139</v>
      </c>
      <c r="D32" s="29">
        <v>4</v>
      </c>
      <c r="E32" s="17" t="s">
        <v>28</v>
      </c>
      <c r="F32" s="17" t="s">
        <v>30</v>
      </c>
      <c r="G32" s="274" t="s">
        <v>716</v>
      </c>
      <c r="H32" s="15">
        <v>6.9444444444444441E-3</v>
      </c>
      <c r="I32" s="177">
        <f t="shared" si="9"/>
        <v>42623.604166666664</v>
      </c>
      <c r="J32" s="177">
        <f t="shared" si="10"/>
        <v>42623.611111111109</v>
      </c>
      <c r="K32" s="16"/>
      <c r="L32" s="143" t="s">
        <v>894</v>
      </c>
      <c r="M32" s="129"/>
      <c r="N32" s="128"/>
    </row>
    <row r="33" spans="1:14" s="124" customFormat="1" ht="38.25" outlineLevel="2" x14ac:dyDescent="0.2">
      <c r="A33" s="12"/>
      <c r="B33" s="129"/>
      <c r="C33" s="14" t="s">
        <v>773</v>
      </c>
      <c r="D33" s="29"/>
      <c r="E33" s="17" t="s">
        <v>28</v>
      </c>
      <c r="F33" s="17" t="s">
        <v>30</v>
      </c>
      <c r="G33" s="274" t="s">
        <v>716</v>
      </c>
      <c r="H33" s="15">
        <v>3.472222222222222E-3</v>
      </c>
      <c r="I33" s="177">
        <f t="shared" si="9"/>
        <v>42623.611111111109</v>
      </c>
      <c r="J33" s="177">
        <f t="shared" si="10"/>
        <v>42623.614583333328</v>
      </c>
      <c r="K33" s="16"/>
      <c r="L33" s="143" t="s">
        <v>774</v>
      </c>
      <c r="M33" s="129"/>
      <c r="N33" s="128"/>
    </row>
    <row r="34" spans="1:14" s="124" customFormat="1" ht="38.25" outlineLevel="2" x14ac:dyDescent="0.2">
      <c r="A34" s="12"/>
      <c r="B34" s="129"/>
      <c r="C34" s="184" t="s">
        <v>273</v>
      </c>
      <c r="D34" s="223">
        <v>5</v>
      </c>
      <c r="E34" s="184" t="s">
        <v>1010</v>
      </c>
      <c r="F34" s="184" t="s">
        <v>30</v>
      </c>
      <c r="G34" s="274" t="s">
        <v>716</v>
      </c>
      <c r="H34" s="189">
        <v>2.4305555555555556E-2</v>
      </c>
      <c r="I34" s="190">
        <f t="shared" si="9"/>
        <v>42623.614583333328</v>
      </c>
      <c r="J34" s="190">
        <f t="shared" si="10"/>
        <v>42623.638888888883</v>
      </c>
      <c r="K34" s="190"/>
      <c r="L34" s="190" t="s">
        <v>1006</v>
      </c>
      <c r="M34" s="129"/>
      <c r="N34" s="128"/>
    </row>
    <row r="35" spans="1:14" s="124" customFormat="1" ht="293.25" outlineLevel="2" x14ac:dyDescent="0.2">
      <c r="A35" s="12"/>
      <c r="B35" s="129"/>
      <c r="C35" s="14" t="s">
        <v>140</v>
      </c>
      <c r="D35" s="29">
        <v>6</v>
      </c>
      <c r="E35" s="17" t="s">
        <v>28</v>
      </c>
      <c r="F35" s="17" t="s">
        <v>30</v>
      </c>
      <c r="G35" s="274" t="s">
        <v>716</v>
      </c>
      <c r="H35" s="15">
        <v>1.0416666666666666E-2</v>
      </c>
      <c r="I35" s="177">
        <f t="shared" si="9"/>
        <v>42623.638888888883</v>
      </c>
      <c r="J35" s="177">
        <f t="shared" si="10"/>
        <v>42623.649305555547</v>
      </c>
      <c r="K35" s="16"/>
      <c r="L35" s="14" t="s">
        <v>775</v>
      </c>
      <c r="M35" s="129"/>
      <c r="N35" s="128"/>
    </row>
    <row r="36" spans="1:14" s="124" customFormat="1" ht="38.25" outlineLevel="2" x14ac:dyDescent="0.2">
      <c r="A36" s="12"/>
      <c r="B36" s="129"/>
      <c r="C36" s="14" t="s">
        <v>141</v>
      </c>
      <c r="D36" s="29">
        <v>7</v>
      </c>
      <c r="E36" s="17" t="s">
        <v>1010</v>
      </c>
      <c r="F36" s="17" t="s">
        <v>30</v>
      </c>
      <c r="G36" s="274" t="s">
        <v>716</v>
      </c>
      <c r="H36" s="15">
        <v>3.472222222222222E-3</v>
      </c>
      <c r="I36" s="177">
        <f t="shared" si="9"/>
        <v>42623.649305555547</v>
      </c>
      <c r="J36" s="177">
        <f t="shared" si="10"/>
        <v>42623.652777777766</v>
      </c>
      <c r="K36" s="16"/>
      <c r="L36" s="16" t="s">
        <v>510</v>
      </c>
      <c r="M36" s="129"/>
      <c r="N36" s="128"/>
    </row>
    <row r="37" spans="1:14" ht="330" customHeight="1" outlineLevel="1" x14ac:dyDescent="0.2">
      <c r="A37" s="12"/>
      <c r="B37" s="129"/>
      <c r="C37" s="14" t="s">
        <v>145</v>
      </c>
      <c r="D37" s="29">
        <v>8</v>
      </c>
      <c r="E37" s="17" t="s">
        <v>28</v>
      </c>
      <c r="F37" s="17" t="s">
        <v>30</v>
      </c>
      <c r="G37" s="274" t="s">
        <v>716</v>
      </c>
      <c r="H37" s="15">
        <v>1.3888888888888888E-2</v>
      </c>
      <c r="I37" s="177">
        <f t="shared" si="9"/>
        <v>42623.652777777766</v>
      </c>
      <c r="J37" s="177">
        <f t="shared" si="10"/>
        <v>42623.666666666657</v>
      </c>
      <c r="K37" s="16"/>
      <c r="L37" s="14" t="s">
        <v>776</v>
      </c>
      <c r="M37" s="129"/>
      <c r="N37" s="128"/>
    </row>
    <row r="38" spans="1:14" s="124" customFormat="1" ht="63.75" outlineLevel="2" x14ac:dyDescent="0.2">
      <c r="A38" s="12"/>
      <c r="B38" s="129"/>
      <c r="C38" s="14" t="s">
        <v>368</v>
      </c>
      <c r="D38" s="29">
        <v>10</v>
      </c>
      <c r="E38" s="193" t="s">
        <v>1010</v>
      </c>
      <c r="F38" s="17" t="s">
        <v>30</v>
      </c>
      <c r="G38" s="274" t="s">
        <v>716</v>
      </c>
      <c r="H38" s="15">
        <v>3.125E-2</v>
      </c>
      <c r="I38" s="177">
        <f t="shared" si="9"/>
        <v>42623.666666666657</v>
      </c>
      <c r="J38" s="177">
        <f t="shared" si="10"/>
        <v>42623.697916666657</v>
      </c>
      <c r="K38" s="16"/>
      <c r="L38" s="16" t="s">
        <v>298</v>
      </c>
      <c r="M38" s="129"/>
      <c r="N38" s="128"/>
    </row>
    <row r="39" spans="1:14" s="124" customFormat="1" ht="140.25" outlineLevel="2" x14ac:dyDescent="0.2">
      <c r="A39" s="12"/>
      <c r="B39" s="129"/>
      <c r="C39" s="14" t="s">
        <v>325</v>
      </c>
      <c r="D39" s="29">
        <v>11</v>
      </c>
      <c r="E39" s="17" t="s">
        <v>28</v>
      </c>
      <c r="F39" s="17" t="s">
        <v>30</v>
      </c>
      <c r="G39" s="274" t="s">
        <v>716</v>
      </c>
      <c r="H39" s="15">
        <v>3.472222222222222E-3</v>
      </c>
      <c r="I39" s="177">
        <f t="shared" si="9"/>
        <v>42623.697916666657</v>
      </c>
      <c r="J39" s="177">
        <f t="shared" si="10"/>
        <v>42623.701388888876</v>
      </c>
      <c r="K39" s="16"/>
      <c r="L39" s="14" t="s">
        <v>1114</v>
      </c>
      <c r="M39" s="129"/>
      <c r="N39" s="128"/>
    </row>
    <row r="40" spans="1:14" s="124" customFormat="1" ht="38.25" outlineLevel="2" x14ac:dyDescent="0.2">
      <c r="A40" s="12"/>
      <c r="B40" s="129"/>
      <c r="C40" s="14" t="s">
        <v>367</v>
      </c>
      <c r="D40" s="29">
        <v>12</v>
      </c>
      <c r="E40" s="193" t="s">
        <v>1010</v>
      </c>
      <c r="F40" s="17" t="s">
        <v>30</v>
      </c>
      <c r="G40" s="274" t="s">
        <v>716</v>
      </c>
      <c r="H40" s="15">
        <v>3.472222222222222E-3</v>
      </c>
      <c r="I40" s="177">
        <f t="shared" si="9"/>
        <v>42623.701388888876</v>
      </c>
      <c r="J40" s="177">
        <f t="shared" si="10"/>
        <v>42623.704861111095</v>
      </c>
      <c r="K40" s="16"/>
      <c r="L40" s="14" t="s">
        <v>366</v>
      </c>
      <c r="M40" s="129"/>
      <c r="N40" s="128"/>
    </row>
    <row r="41" spans="1:14" ht="38.25" outlineLevel="1" x14ac:dyDescent="0.2">
      <c r="A41" s="12"/>
      <c r="B41" s="13"/>
      <c r="C41" s="14" t="s">
        <v>367</v>
      </c>
      <c r="D41" s="29">
        <v>13</v>
      </c>
      <c r="E41" s="193" t="s">
        <v>1010</v>
      </c>
      <c r="F41" s="17" t="s">
        <v>30</v>
      </c>
      <c r="G41" s="274" t="s">
        <v>716</v>
      </c>
      <c r="H41" s="15">
        <v>3.472222222222222E-3</v>
      </c>
      <c r="I41" s="177">
        <f t="shared" si="9"/>
        <v>42623.704861111095</v>
      </c>
      <c r="J41" s="177">
        <f t="shared" si="10"/>
        <v>42623.708333333314</v>
      </c>
      <c r="K41" s="16"/>
      <c r="L41" s="14" t="s">
        <v>413</v>
      </c>
      <c r="M41" s="129"/>
      <c r="N41" s="128"/>
    </row>
    <row r="42" spans="1:14" ht="38.25" outlineLevel="2" x14ac:dyDescent="0.2">
      <c r="A42" s="12"/>
      <c r="B42" s="13"/>
      <c r="C42" s="14" t="s">
        <v>367</v>
      </c>
      <c r="D42" s="29">
        <v>14</v>
      </c>
      <c r="E42" s="193" t="s">
        <v>1010</v>
      </c>
      <c r="F42" s="17" t="s">
        <v>30</v>
      </c>
      <c r="G42" s="274" t="s">
        <v>716</v>
      </c>
      <c r="H42" s="15">
        <v>3.472222222222222E-3</v>
      </c>
      <c r="I42" s="177">
        <f t="shared" si="9"/>
        <v>42623.708333333314</v>
      </c>
      <c r="J42" s="177">
        <f t="shared" si="10"/>
        <v>42623.711805555533</v>
      </c>
      <c r="K42" s="16"/>
      <c r="L42" s="14" t="s">
        <v>473</v>
      </c>
      <c r="M42" s="129"/>
      <c r="N42" s="128"/>
    </row>
    <row r="43" spans="1:14" ht="38.25" outlineLevel="2" x14ac:dyDescent="0.2">
      <c r="A43" s="12"/>
      <c r="B43" s="13"/>
      <c r="C43" s="14" t="s">
        <v>367</v>
      </c>
      <c r="D43" s="29">
        <v>15</v>
      </c>
      <c r="E43" s="193" t="s">
        <v>1010</v>
      </c>
      <c r="F43" s="17" t="s">
        <v>30</v>
      </c>
      <c r="G43" s="274" t="s">
        <v>716</v>
      </c>
      <c r="H43" s="15">
        <v>3.472222222222222E-3</v>
      </c>
      <c r="I43" s="177">
        <f t="shared" si="9"/>
        <v>42623.711805555533</v>
      </c>
      <c r="J43" s="177">
        <f t="shared" si="10"/>
        <v>42623.715277777752</v>
      </c>
      <c r="K43" s="16"/>
      <c r="L43" s="14" t="s">
        <v>474</v>
      </c>
      <c r="M43" s="129"/>
      <c r="N43" s="128"/>
    </row>
    <row r="44" spans="1:14" ht="38.25" outlineLevel="2" x14ac:dyDescent="0.2">
      <c r="A44" s="12"/>
      <c r="B44" s="13"/>
      <c r="C44" s="14" t="s">
        <v>367</v>
      </c>
      <c r="D44" s="29">
        <v>16</v>
      </c>
      <c r="E44" s="193" t="s">
        <v>1010</v>
      </c>
      <c r="F44" s="17" t="s">
        <v>30</v>
      </c>
      <c r="G44" s="274" t="s">
        <v>716</v>
      </c>
      <c r="H44" s="15">
        <v>3.472222222222222E-3</v>
      </c>
      <c r="I44" s="177">
        <f t="shared" si="9"/>
        <v>42623.715277777752</v>
      </c>
      <c r="J44" s="177">
        <f t="shared" si="10"/>
        <v>42623.718749999971</v>
      </c>
      <c r="K44" s="16"/>
      <c r="L44" s="14" t="s">
        <v>508</v>
      </c>
      <c r="M44" s="129"/>
      <c r="N44" s="128"/>
    </row>
    <row r="45" spans="1:14" ht="76.5" outlineLevel="2" x14ac:dyDescent="0.2">
      <c r="A45" s="12"/>
      <c r="B45" s="13"/>
      <c r="C45" s="14" t="s">
        <v>367</v>
      </c>
      <c r="D45" s="29">
        <v>17</v>
      </c>
      <c r="E45" s="193" t="s">
        <v>1010</v>
      </c>
      <c r="F45" s="17" t="s">
        <v>30</v>
      </c>
      <c r="G45" s="274" t="s">
        <v>716</v>
      </c>
      <c r="H45" s="15">
        <v>1.0416666666666666E-2</v>
      </c>
      <c r="I45" s="177">
        <f t="shared" si="9"/>
        <v>42623.718749999971</v>
      </c>
      <c r="J45" s="177">
        <f t="shared" si="10"/>
        <v>42623.729166666635</v>
      </c>
      <c r="K45" s="16"/>
      <c r="L45" s="14" t="s">
        <v>1092</v>
      </c>
      <c r="M45" s="129"/>
      <c r="N45" s="128"/>
    </row>
    <row r="46" spans="1:14" ht="38.25" outlineLevel="2" x14ac:dyDescent="0.2">
      <c r="A46" s="12"/>
      <c r="B46" s="13"/>
      <c r="C46" s="197" t="s">
        <v>1065</v>
      </c>
      <c r="D46" s="182">
        <v>18</v>
      </c>
      <c r="E46" s="193" t="s">
        <v>1063</v>
      </c>
      <c r="F46" s="193" t="s">
        <v>908</v>
      </c>
      <c r="G46" s="274" t="s">
        <v>716</v>
      </c>
      <c r="H46" s="176">
        <v>1.7361111111111112E-2</v>
      </c>
      <c r="I46" s="177">
        <f>J45</f>
        <v>42623.729166666635</v>
      </c>
      <c r="J46" s="177">
        <f t="shared" si="10"/>
        <v>42623.746527777745</v>
      </c>
      <c r="K46" s="177"/>
      <c r="L46" s="220" t="s">
        <v>1064</v>
      </c>
      <c r="M46" s="172"/>
      <c r="N46" s="173"/>
    </row>
    <row r="47" spans="1:14" outlineLevel="2" x14ac:dyDescent="0.2">
      <c r="A47" s="173"/>
      <c r="B47" s="174"/>
      <c r="C47" s="224" t="s">
        <v>909</v>
      </c>
      <c r="D47" s="182">
        <v>19</v>
      </c>
      <c r="E47" s="225" t="s">
        <v>155</v>
      </c>
      <c r="F47" s="225" t="s">
        <v>908</v>
      </c>
      <c r="G47" s="274" t="s">
        <v>716</v>
      </c>
      <c r="H47" s="224"/>
      <c r="I47" s="190">
        <f>J45</f>
        <v>42623.729166666635</v>
      </c>
      <c r="J47" s="190">
        <f t="shared" si="10"/>
        <v>42623.729166666635</v>
      </c>
      <c r="K47" s="224"/>
      <c r="L47" s="224" t="s">
        <v>910</v>
      </c>
      <c r="M47" s="172"/>
      <c r="N47" s="171"/>
    </row>
    <row r="48" spans="1:14" outlineLevel="2" x14ac:dyDescent="0.2">
      <c r="A48" s="173"/>
      <c r="B48" s="174"/>
      <c r="C48" s="278"/>
      <c r="D48" s="182">
        <v>20</v>
      </c>
      <c r="E48" s="193" t="s">
        <v>28</v>
      </c>
      <c r="F48" s="193" t="s">
        <v>30</v>
      </c>
      <c r="G48" s="274" t="s">
        <v>716</v>
      </c>
      <c r="H48" s="176">
        <v>3.472222222222222E-3</v>
      </c>
      <c r="I48" s="177">
        <f>J47</f>
        <v>42623.729166666635</v>
      </c>
      <c r="J48" s="177">
        <f t="shared" si="10"/>
        <v>42623.732638888854</v>
      </c>
      <c r="K48" s="278"/>
      <c r="L48" s="278" t="s">
        <v>1115</v>
      </c>
      <c r="M48" s="172"/>
      <c r="N48" s="173"/>
    </row>
    <row r="49" spans="1:14" ht="89.25" outlineLevel="2" x14ac:dyDescent="0.2">
      <c r="A49" s="12"/>
      <c r="B49" s="13"/>
      <c r="C49" s="14" t="s">
        <v>504</v>
      </c>
      <c r="D49" s="29">
        <v>21</v>
      </c>
      <c r="E49" s="17" t="s">
        <v>28</v>
      </c>
      <c r="F49" s="17" t="s">
        <v>30</v>
      </c>
      <c r="G49" s="274" t="s">
        <v>716</v>
      </c>
      <c r="H49" s="15">
        <v>3.472222222222222E-3</v>
      </c>
      <c r="I49" s="177">
        <f>J48</f>
        <v>42623.732638888854</v>
      </c>
      <c r="J49" s="177">
        <f t="shared" si="10"/>
        <v>42623.736111111073</v>
      </c>
      <c r="K49" s="16"/>
      <c r="L49" s="14" t="s">
        <v>513</v>
      </c>
      <c r="M49" s="129"/>
      <c r="N49" s="128"/>
    </row>
    <row r="50" spans="1:14" ht="38.25" outlineLevel="2" x14ac:dyDescent="0.2">
      <c r="A50" s="12"/>
      <c r="B50" s="13"/>
      <c r="C50" s="197" t="s">
        <v>1041</v>
      </c>
      <c r="D50" s="182">
        <v>22</v>
      </c>
      <c r="E50" s="193" t="s">
        <v>28</v>
      </c>
      <c r="F50" s="259" t="s">
        <v>30</v>
      </c>
      <c r="G50" s="274" t="s">
        <v>716</v>
      </c>
      <c r="H50" s="176">
        <v>6.9444444444444447E-4</v>
      </c>
      <c r="I50" s="177">
        <f t="shared" si="9"/>
        <v>42623.736111111073</v>
      </c>
      <c r="J50" s="177">
        <f t="shared" si="10"/>
        <v>42623.73680555552</v>
      </c>
      <c r="K50" s="177"/>
      <c r="L50" s="197" t="s">
        <v>1042</v>
      </c>
      <c r="M50" s="172"/>
      <c r="N50" s="173"/>
    </row>
    <row r="51" spans="1:14" ht="143.25" customHeight="1" outlineLevel="2" x14ac:dyDescent="0.2">
      <c r="A51" s="12"/>
      <c r="B51" s="13"/>
      <c r="C51" s="14" t="s">
        <v>511</v>
      </c>
      <c r="D51" s="29">
        <v>23</v>
      </c>
      <c r="E51" s="17" t="s">
        <v>28</v>
      </c>
      <c r="F51" s="17" t="s">
        <v>30</v>
      </c>
      <c r="G51" s="274" t="s">
        <v>716</v>
      </c>
      <c r="H51" s="15">
        <v>3.472222222222222E-3</v>
      </c>
      <c r="I51" s="177">
        <f t="shared" si="9"/>
        <v>42623.73680555552</v>
      </c>
      <c r="J51" s="177">
        <f t="shared" si="10"/>
        <v>42623.740277777739</v>
      </c>
      <c r="K51" s="16"/>
      <c r="L51" s="14" t="s">
        <v>777</v>
      </c>
      <c r="M51" s="129"/>
      <c r="N51" s="128"/>
    </row>
    <row r="52" spans="1:14" ht="204" outlineLevel="2" x14ac:dyDescent="0.2">
      <c r="A52" s="12"/>
      <c r="B52" s="13"/>
      <c r="C52" s="14" t="s">
        <v>507</v>
      </c>
      <c r="D52" s="29">
        <v>24</v>
      </c>
      <c r="E52" s="17" t="s">
        <v>28</v>
      </c>
      <c r="F52" s="17" t="s">
        <v>30</v>
      </c>
      <c r="G52" s="274" t="s">
        <v>716</v>
      </c>
      <c r="H52" s="15">
        <v>1.0416666666666666E-2</v>
      </c>
      <c r="I52" s="177">
        <f t="shared" si="9"/>
        <v>42623.740277777739</v>
      </c>
      <c r="J52" s="177">
        <f t="shared" si="10"/>
        <v>42623.750694444403</v>
      </c>
      <c r="K52" s="16"/>
      <c r="L52" s="14" t="s">
        <v>899</v>
      </c>
      <c r="M52" s="129"/>
      <c r="N52" s="128"/>
    </row>
    <row r="53" spans="1:14" ht="363.75" customHeight="1" outlineLevel="2" x14ac:dyDescent="0.2">
      <c r="A53" s="12"/>
      <c r="B53" s="13"/>
      <c r="C53" s="14" t="s">
        <v>900</v>
      </c>
      <c r="D53" s="29">
        <v>25</v>
      </c>
      <c r="E53" s="17" t="s">
        <v>28</v>
      </c>
      <c r="F53" s="17" t="s">
        <v>30</v>
      </c>
      <c r="G53" s="274" t="s">
        <v>716</v>
      </c>
      <c r="H53" s="15">
        <v>0.125</v>
      </c>
      <c r="I53" s="177">
        <f t="shared" si="9"/>
        <v>42623.750694444403</v>
      </c>
      <c r="J53" s="177">
        <f t="shared" si="10"/>
        <v>42623.875694444403</v>
      </c>
      <c r="K53" s="16"/>
      <c r="L53" s="14" t="s">
        <v>779</v>
      </c>
      <c r="M53" s="129"/>
      <c r="N53" s="128"/>
    </row>
    <row r="54" spans="1:14" s="4" customFormat="1" outlineLevel="2" x14ac:dyDescent="0.2">
      <c r="A54" s="12"/>
      <c r="B54" s="13" t="s">
        <v>200</v>
      </c>
      <c r="C54" s="179"/>
      <c r="D54" s="181"/>
      <c r="E54" s="181"/>
      <c r="F54" s="181"/>
      <c r="G54" s="178"/>
      <c r="H54" s="178"/>
      <c r="I54" s="180"/>
      <c r="J54" s="180"/>
      <c r="K54" s="180"/>
      <c r="L54" s="179"/>
      <c r="M54" s="23"/>
      <c r="N54" s="22"/>
    </row>
    <row r="55" spans="1:14" s="11" customFormat="1" outlineLevel="2" x14ac:dyDescent="0.2">
      <c r="A55" s="12"/>
      <c r="B55" s="23"/>
      <c r="C55" s="220" t="s">
        <v>170</v>
      </c>
      <c r="D55" s="220"/>
      <c r="E55" s="226" t="s">
        <v>169</v>
      </c>
      <c r="F55" s="226" t="s">
        <v>171</v>
      </c>
      <c r="G55" s="274" t="s">
        <v>716</v>
      </c>
      <c r="H55" s="160">
        <v>3.472222222222222E-3</v>
      </c>
      <c r="I55" s="227">
        <v>42624.208333333336</v>
      </c>
      <c r="J55" s="227">
        <f t="shared" ref="J55:J66" si="11">I55+H55</f>
        <v>42624.211805555555</v>
      </c>
      <c r="K55" s="227"/>
      <c r="L55" s="220"/>
      <c r="M55" s="23"/>
      <c r="N55" s="22"/>
    </row>
    <row r="56" spans="1:14" s="11" customFormat="1" outlineLevel="2" x14ac:dyDescent="0.2">
      <c r="A56" s="12"/>
      <c r="B56" s="23"/>
      <c r="C56" s="220" t="s">
        <v>172</v>
      </c>
      <c r="D56" s="220"/>
      <c r="E56" s="226" t="s">
        <v>169</v>
      </c>
      <c r="F56" s="226" t="s">
        <v>171</v>
      </c>
      <c r="G56" s="274" t="s">
        <v>716</v>
      </c>
      <c r="H56" s="160">
        <v>3.472222222222222E-3</v>
      </c>
      <c r="I56" s="227">
        <f t="shared" ref="I56:I69" si="12">J55</f>
        <v>42624.211805555555</v>
      </c>
      <c r="J56" s="227">
        <f t="shared" si="11"/>
        <v>42624.215277777774</v>
      </c>
      <c r="K56" s="227"/>
      <c r="L56" s="220"/>
      <c r="M56" s="23"/>
      <c r="N56" s="22"/>
    </row>
    <row r="57" spans="1:14" s="11" customFormat="1" outlineLevel="2" x14ac:dyDescent="0.2">
      <c r="A57" s="12"/>
      <c r="B57" s="23"/>
      <c r="C57" s="220" t="s">
        <v>173</v>
      </c>
      <c r="D57" s="220"/>
      <c r="E57" s="226" t="s">
        <v>169</v>
      </c>
      <c r="F57" s="226" t="s">
        <v>171</v>
      </c>
      <c r="G57" s="274" t="s">
        <v>716</v>
      </c>
      <c r="H57" s="160">
        <v>3.472222222222222E-3</v>
      </c>
      <c r="I57" s="227">
        <f t="shared" si="12"/>
        <v>42624.215277777774</v>
      </c>
      <c r="J57" s="227">
        <f t="shared" si="11"/>
        <v>42624.218749999993</v>
      </c>
      <c r="K57" s="227"/>
      <c r="L57" s="220"/>
      <c r="M57" s="23"/>
      <c r="N57" s="22"/>
    </row>
    <row r="58" spans="1:14" s="11" customFormat="1" outlineLevel="2" x14ac:dyDescent="0.2">
      <c r="A58" s="12"/>
      <c r="B58" s="172"/>
      <c r="C58" s="220" t="s">
        <v>1044</v>
      </c>
      <c r="D58" s="230"/>
      <c r="E58" s="228" t="s">
        <v>203</v>
      </c>
      <c r="F58" s="228" t="s">
        <v>171</v>
      </c>
      <c r="G58" s="274" t="s">
        <v>716</v>
      </c>
      <c r="H58" s="160">
        <v>3.472222222222222E-3</v>
      </c>
      <c r="I58" s="227">
        <f>J57</f>
        <v>42624.218749999993</v>
      </c>
      <c r="J58" s="227">
        <f t="shared" si="11"/>
        <v>42624.222222222212</v>
      </c>
      <c r="K58" s="240"/>
      <c r="L58" s="220" t="s">
        <v>1045</v>
      </c>
      <c r="M58" s="172"/>
      <c r="N58" s="173"/>
    </row>
    <row r="59" spans="1:14" s="11" customFormat="1" ht="38.25" outlineLevel="2" x14ac:dyDescent="0.2">
      <c r="A59" s="12"/>
      <c r="B59" s="172"/>
      <c r="C59" s="220" t="s">
        <v>1052</v>
      </c>
      <c r="D59" s="230"/>
      <c r="E59" s="228" t="s">
        <v>203</v>
      </c>
      <c r="F59" s="228" t="s">
        <v>171</v>
      </c>
      <c r="G59" s="274" t="s">
        <v>716</v>
      </c>
      <c r="H59" s="160">
        <v>0</v>
      </c>
      <c r="I59" s="227">
        <f>J58</f>
        <v>42624.222222222212</v>
      </c>
      <c r="J59" s="227">
        <f t="shared" si="11"/>
        <v>42624.222222222212</v>
      </c>
      <c r="K59" s="240"/>
      <c r="L59" s="220" t="s">
        <v>1051</v>
      </c>
      <c r="M59" s="172"/>
      <c r="N59" s="173"/>
    </row>
    <row r="60" spans="1:14" ht="178.5" outlineLevel="2" x14ac:dyDescent="0.2">
      <c r="A60" s="12"/>
      <c r="B60" s="13"/>
      <c r="C60" s="160" t="s">
        <v>778</v>
      </c>
      <c r="D60" s="228">
        <v>22</v>
      </c>
      <c r="E60" s="228" t="s">
        <v>505</v>
      </c>
      <c r="F60" s="228" t="s">
        <v>167</v>
      </c>
      <c r="G60" s="274" t="s">
        <v>716</v>
      </c>
      <c r="H60" s="160">
        <v>1.3888888888888889E-3</v>
      </c>
      <c r="I60" s="227">
        <f>J59</f>
        <v>42624.222222222212</v>
      </c>
      <c r="J60" s="227">
        <f t="shared" si="11"/>
        <v>42624.223611111098</v>
      </c>
      <c r="K60" s="227"/>
      <c r="L60" s="220" t="s">
        <v>912</v>
      </c>
      <c r="M60" s="129"/>
      <c r="N60" s="128"/>
    </row>
    <row r="61" spans="1:14" s="11" customFormat="1" ht="25.5" outlineLevel="2" x14ac:dyDescent="0.2">
      <c r="A61" s="12"/>
      <c r="B61" s="13"/>
      <c r="C61" s="220" t="s">
        <v>985</v>
      </c>
      <c r="D61" s="230"/>
      <c r="E61" s="228" t="s">
        <v>203</v>
      </c>
      <c r="F61" s="228" t="s">
        <v>171</v>
      </c>
      <c r="G61" s="274" t="s">
        <v>716</v>
      </c>
      <c r="H61" s="160">
        <v>2.0833333333333333E-3</v>
      </c>
      <c r="I61" s="227">
        <f t="shared" si="12"/>
        <v>42624.223611111098</v>
      </c>
      <c r="J61" s="227">
        <f t="shared" si="11"/>
        <v>42624.225694444431</v>
      </c>
      <c r="K61" s="227"/>
      <c r="L61" s="220"/>
      <c r="M61" s="23"/>
      <c r="N61" s="22"/>
    </row>
    <row r="62" spans="1:14" s="11" customFormat="1" outlineLevel="2" x14ac:dyDescent="0.2">
      <c r="A62" s="12"/>
      <c r="B62" s="13"/>
      <c r="C62" s="220" t="s">
        <v>204</v>
      </c>
      <c r="D62" s="230"/>
      <c r="E62" s="228" t="s">
        <v>203</v>
      </c>
      <c r="F62" s="228" t="s">
        <v>171</v>
      </c>
      <c r="G62" s="274" t="s">
        <v>716</v>
      </c>
      <c r="H62" s="160">
        <v>2.0833333333333333E-3</v>
      </c>
      <c r="I62" s="227">
        <f t="shared" si="12"/>
        <v>42624.225694444431</v>
      </c>
      <c r="J62" s="227">
        <f t="shared" si="11"/>
        <v>42624.227777777764</v>
      </c>
      <c r="K62" s="231"/>
      <c r="L62" s="232"/>
      <c r="M62" s="23"/>
      <c r="N62" s="22"/>
    </row>
    <row r="63" spans="1:14" s="4" customFormat="1" outlineLevel="2" x14ac:dyDescent="0.2">
      <c r="A63" s="12"/>
      <c r="B63" s="23"/>
      <c r="C63" s="233" t="s">
        <v>191</v>
      </c>
      <c r="D63" s="228"/>
      <c r="E63" s="228" t="s">
        <v>169</v>
      </c>
      <c r="F63" s="232" t="s">
        <v>192</v>
      </c>
      <c r="G63" s="274" t="s">
        <v>716</v>
      </c>
      <c r="H63" s="233"/>
      <c r="I63" s="227">
        <f t="shared" si="12"/>
        <v>42624.227777777764</v>
      </c>
      <c r="J63" s="227">
        <f t="shared" si="11"/>
        <v>42624.227777777764</v>
      </c>
      <c r="K63" s="231"/>
      <c r="L63" s="232" t="s">
        <v>986</v>
      </c>
      <c r="M63" s="23"/>
      <c r="N63" s="22"/>
    </row>
    <row r="64" spans="1:14" ht="25.5" outlineLevel="2" x14ac:dyDescent="0.2">
      <c r="A64" s="12"/>
      <c r="B64" s="13"/>
      <c r="C64" s="234" t="s">
        <v>506</v>
      </c>
      <c r="D64" s="235">
        <v>18</v>
      </c>
      <c r="E64" s="236" t="s">
        <v>169</v>
      </c>
      <c r="F64" s="236"/>
      <c r="G64" s="237" t="s">
        <v>713</v>
      </c>
      <c r="H64" s="160"/>
      <c r="I64" s="227">
        <f t="shared" si="12"/>
        <v>42624.227777777764</v>
      </c>
      <c r="J64" s="227">
        <f t="shared" si="11"/>
        <v>42624.227777777764</v>
      </c>
      <c r="K64" s="227"/>
      <c r="L64" s="220" t="s">
        <v>988</v>
      </c>
      <c r="M64" s="129"/>
      <c r="N64" s="128"/>
    </row>
    <row r="65" spans="1:14" s="4" customFormat="1" ht="51" outlineLevel="2" x14ac:dyDescent="0.2">
      <c r="A65" s="12"/>
      <c r="B65" s="23"/>
      <c r="C65" s="238" t="s">
        <v>205</v>
      </c>
      <c r="D65" s="239"/>
      <c r="E65" s="228" t="s">
        <v>203</v>
      </c>
      <c r="F65" s="228" t="s">
        <v>171</v>
      </c>
      <c r="G65" s="274" t="s">
        <v>716</v>
      </c>
      <c r="H65" s="160">
        <v>1.0416666666666666E-2</v>
      </c>
      <c r="I65" s="227">
        <f t="shared" si="12"/>
        <v>42624.227777777764</v>
      </c>
      <c r="J65" s="227">
        <f t="shared" si="11"/>
        <v>42624.238194444428</v>
      </c>
      <c r="K65" s="240"/>
      <c r="L65" s="220" t="s">
        <v>987</v>
      </c>
      <c r="M65" s="23"/>
      <c r="N65" s="22"/>
    </row>
    <row r="66" spans="1:14" s="4" customFormat="1" ht="25.5" outlineLevel="2" x14ac:dyDescent="0.2">
      <c r="A66" s="12"/>
      <c r="B66" s="23"/>
      <c r="C66" s="241" t="s">
        <v>185</v>
      </c>
      <c r="D66" s="236"/>
      <c r="E66" s="236" t="s">
        <v>169</v>
      </c>
      <c r="F66" s="236" t="s">
        <v>171</v>
      </c>
      <c r="G66" s="237" t="s">
        <v>713</v>
      </c>
      <c r="H66" s="241"/>
      <c r="I66" s="242">
        <f t="shared" si="12"/>
        <v>42624.238194444428</v>
      </c>
      <c r="J66" s="242">
        <f t="shared" si="11"/>
        <v>42624.238194444428</v>
      </c>
      <c r="K66" s="242"/>
      <c r="L66" s="220" t="s">
        <v>1007</v>
      </c>
      <c r="M66" s="23"/>
      <c r="N66" s="22"/>
    </row>
    <row r="67" spans="1:14" s="4" customFormat="1" ht="25.5" outlineLevel="2" x14ac:dyDescent="0.2">
      <c r="A67" s="12"/>
      <c r="B67" s="23"/>
      <c r="C67" s="241" t="s">
        <v>186</v>
      </c>
      <c r="D67" s="236"/>
      <c r="E67" s="236" t="s">
        <v>187</v>
      </c>
      <c r="F67" s="236"/>
      <c r="G67" s="237" t="s">
        <v>713</v>
      </c>
      <c r="H67" s="241"/>
      <c r="I67" s="242">
        <f t="shared" si="12"/>
        <v>42624.238194444428</v>
      </c>
      <c r="J67" s="242">
        <f t="shared" ref="J67:J69" si="13">I67+H67</f>
        <v>42624.238194444428</v>
      </c>
      <c r="K67" s="242"/>
      <c r="L67" s="220"/>
      <c r="M67" s="23"/>
      <c r="N67" s="22"/>
    </row>
    <row r="68" spans="1:14" s="4" customFormat="1" outlineLevel="2" x14ac:dyDescent="0.2">
      <c r="A68" s="12"/>
      <c r="B68" s="23"/>
      <c r="C68" s="160" t="s">
        <v>975</v>
      </c>
      <c r="D68" s="228"/>
      <c r="E68" s="228" t="s">
        <v>169</v>
      </c>
      <c r="F68" s="228" t="s">
        <v>171</v>
      </c>
      <c r="G68" s="274" t="s">
        <v>716</v>
      </c>
      <c r="H68" s="160">
        <v>1.0416666666666666E-2</v>
      </c>
      <c r="I68" s="227">
        <f t="shared" si="12"/>
        <v>42624.238194444428</v>
      </c>
      <c r="J68" s="227">
        <f t="shared" si="13"/>
        <v>42624.248611111092</v>
      </c>
      <c r="K68" s="227"/>
      <c r="L68" s="220"/>
      <c r="M68" s="23"/>
      <c r="N68" s="22"/>
    </row>
    <row r="69" spans="1:14" s="4" customFormat="1" outlineLevel="2" x14ac:dyDescent="0.2">
      <c r="A69" s="12"/>
      <c r="B69" s="23"/>
      <c r="C69" s="220" t="s">
        <v>188</v>
      </c>
      <c r="D69" s="230"/>
      <c r="E69" s="228" t="s">
        <v>169</v>
      </c>
      <c r="F69" s="228" t="s">
        <v>171</v>
      </c>
      <c r="G69" s="274" t="s">
        <v>716</v>
      </c>
      <c r="H69" s="160">
        <v>2.0833333333333333E-3</v>
      </c>
      <c r="I69" s="227">
        <f t="shared" si="12"/>
        <v>42624.248611111092</v>
      </c>
      <c r="J69" s="227">
        <f t="shared" si="13"/>
        <v>42624.250694444425</v>
      </c>
      <c r="K69" s="227"/>
      <c r="L69" s="220"/>
      <c r="M69" s="23"/>
      <c r="N69" s="22"/>
    </row>
    <row r="70" spans="1:14" s="4" customFormat="1" outlineLevel="2" x14ac:dyDescent="0.2">
      <c r="A70" s="12"/>
      <c r="B70" s="23"/>
      <c r="C70" s="220" t="s">
        <v>189</v>
      </c>
      <c r="D70" s="230"/>
      <c r="E70" s="228" t="s">
        <v>169</v>
      </c>
      <c r="F70" s="228" t="s">
        <v>171</v>
      </c>
      <c r="G70" s="274" t="s">
        <v>716</v>
      </c>
      <c r="H70" s="160">
        <v>2.0833333333333333E-3</v>
      </c>
      <c r="I70" s="227">
        <f t="shared" ref="I70:I71" si="14">J69</f>
        <v>42624.250694444425</v>
      </c>
      <c r="J70" s="227">
        <f t="shared" ref="J70:J71" si="15">I70+H70</f>
        <v>42624.252777777758</v>
      </c>
      <c r="K70" s="227"/>
      <c r="L70" s="220"/>
      <c r="M70" s="23"/>
      <c r="N70" s="22"/>
    </row>
    <row r="71" spans="1:14" s="4" customFormat="1" outlineLevel="2" x14ac:dyDescent="0.2">
      <c r="A71" s="12"/>
      <c r="B71" s="23"/>
      <c r="C71" s="160" t="s">
        <v>202</v>
      </c>
      <c r="D71" s="228"/>
      <c r="E71" s="228" t="s">
        <v>169</v>
      </c>
      <c r="F71" s="228" t="s">
        <v>171</v>
      </c>
      <c r="G71" s="274" t="s">
        <v>716</v>
      </c>
      <c r="H71" s="160">
        <v>2.0833333333333333E-3</v>
      </c>
      <c r="I71" s="227">
        <f t="shared" si="14"/>
        <v>42624.252777777758</v>
      </c>
      <c r="J71" s="227">
        <f t="shared" si="15"/>
        <v>42624.254861111091</v>
      </c>
      <c r="K71" s="227"/>
      <c r="L71" s="220"/>
      <c r="M71" s="23"/>
      <c r="N71" s="22"/>
    </row>
    <row r="72" spans="1:14" s="124" customFormat="1" outlineLevel="2" x14ac:dyDescent="0.2">
      <c r="A72" s="12"/>
      <c r="B72" s="172"/>
      <c r="C72" s="160" t="s">
        <v>989</v>
      </c>
      <c r="D72" s="228"/>
      <c r="E72" s="228"/>
      <c r="F72" s="228"/>
      <c r="G72" s="274" t="s">
        <v>716</v>
      </c>
      <c r="H72" s="160">
        <v>2.0833333333333333E-3</v>
      </c>
      <c r="I72" s="227">
        <f t="shared" ref="I72:I74" si="16">J71</f>
        <v>42624.254861111091</v>
      </c>
      <c r="J72" s="227">
        <f t="shared" ref="J72:J74" si="17">I72+H72</f>
        <v>42624.256944444423</v>
      </c>
      <c r="K72" s="227"/>
      <c r="L72" s="220"/>
      <c r="M72" s="172"/>
      <c r="N72" s="173"/>
    </row>
    <row r="73" spans="1:14" s="124" customFormat="1" outlineLevel="2" x14ac:dyDescent="0.2">
      <c r="A73" s="12"/>
      <c r="B73" s="172"/>
      <c r="C73" s="160" t="s">
        <v>990</v>
      </c>
      <c r="D73" s="228"/>
      <c r="E73" s="228"/>
      <c r="F73" s="228"/>
      <c r="G73" s="274" t="s">
        <v>716</v>
      </c>
      <c r="H73" s="160">
        <v>1.3888888888888889E-3</v>
      </c>
      <c r="I73" s="227">
        <f t="shared" si="16"/>
        <v>42624.256944444423</v>
      </c>
      <c r="J73" s="227">
        <f t="shared" si="17"/>
        <v>42624.25833333331</v>
      </c>
      <c r="K73" s="227"/>
      <c r="L73" s="220"/>
      <c r="M73" s="172"/>
      <c r="N73" s="173"/>
    </row>
    <row r="74" spans="1:14" s="4" customFormat="1" ht="25.5" outlineLevel="2" x14ac:dyDescent="0.2">
      <c r="A74" s="12"/>
      <c r="B74" s="23"/>
      <c r="C74" s="241" t="s">
        <v>190</v>
      </c>
      <c r="D74" s="236"/>
      <c r="E74" s="236" t="s">
        <v>169</v>
      </c>
      <c r="F74" s="236" t="s">
        <v>171</v>
      </c>
      <c r="G74" s="244" t="s">
        <v>713</v>
      </c>
      <c r="H74" s="241"/>
      <c r="I74" s="227">
        <f t="shared" si="16"/>
        <v>42624.25833333331</v>
      </c>
      <c r="J74" s="227">
        <f t="shared" si="17"/>
        <v>42624.25833333331</v>
      </c>
      <c r="K74" s="227"/>
      <c r="L74" s="220"/>
      <c r="M74" s="23"/>
      <c r="N74" s="22"/>
    </row>
    <row r="75" spans="1:14" s="4" customFormat="1" outlineLevel="2" x14ac:dyDescent="0.2">
      <c r="A75" s="12"/>
      <c r="B75" s="23"/>
      <c r="C75" s="220" t="s">
        <v>911</v>
      </c>
      <c r="D75" s="230"/>
      <c r="E75" s="228" t="s">
        <v>203</v>
      </c>
      <c r="F75" s="228" t="s">
        <v>171</v>
      </c>
      <c r="G75" s="274" t="s">
        <v>716</v>
      </c>
      <c r="H75" s="160">
        <v>2.0833333333333333E-3</v>
      </c>
      <c r="I75" s="227">
        <f t="shared" ref="I75" si="18">J74</f>
        <v>42624.25833333331</v>
      </c>
      <c r="J75" s="227">
        <f t="shared" ref="J75:J76" si="19">I75+H75</f>
        <v>42624.260416666642</v>
      </c>
      <c r="K75" s="240"/>
      <c r="L75" s="220"/>
      <c r="M75" s="23"/>
      <c r="N75" s="22"/>
    </row>
    <row r="76" spans="1:14" s="11" customFormat="1" ht="108.75" customHeight="1" outlineLevel="2" x14ac:dyDescent="0.2">
      <c r="A76" s="12"/>
      <c r="B76" s="23"/>
      <c r="C76" s="160" t="s">
        <v>770</v>
      </c>
      <c r="D76" s="228"/>
      <c r="E76" s="228" t="s">
        <v>169</v>
      </c>
      <c r="F76" s="228" t="s">
        <v>171</v>
      </c>
      <c r="G76" s="274" t="s">
        <v>716</v>
      </c>
      <c r="H76" s="160">
        <v>3.472222222222222E-3</v>
      </c>
      <c r="I76" s="227">
        <f>J75</f>
        <v>42624.260416666642</v>
      </c>
      <c r="J76" s="227">
        <f t="shared" si="19"/>
        <v>42624.263888888861</v>
      </c>
      <c r="K76" s="227"/>
      <c r="L76" s="220" t="s">
        <v>148</v>
      </c>
      <c r="M76" s="23"/>
      <c r="N76" s="22"/>
    </row>
    <row r="77" spans="1:14" s="11" customFormat="1" ht="108.75" customHeight="1" outlineLevel="2" x14ac:dyDescent="0.2">
      <c r="A77" s="12"/>
      <c r="B77" s="172"/>
      <c r="C77" s="220" t="s">
        <v>1053</v>
      </c>
      <c r="D77" s="230"/>
      <c r="E77" s="228" t="s">
        <v>203</v>
      </c>
      <c r="F77" s="228" t="s">
        <v>171</v>
      </c>
      <c r="G77" s="243" t="s">
        <v>713</v>
      </c>
      <c r="H77" s="160">
        <v>6.9444444444444441E-3</v>
      </c>
      <c r="I77" s="227">
        <f>J76</f>
        <v>42624.263888888861</v>
      </c>
      <c r="J77" s="227">
        <f t="shared" ref="J77" si="20">I77+H77</f>
        <v>42624.270833333307</v>
      </c>
      <c r="K77" s="240"/>
      <c r="L77" s="220"/>
      <c r="M77" s="172"/>
      <c r="N77" s="173"/>
    </row>
    <row r="78" spans="1:14" s="124" customFormat="1" outlineLevel="2" x14ac:dyDescent="0.2">
      <c r="A78" s="128"/>
      <c r="B78" s="52" t="s">
        <v>153</v>
      </c>
      <c r="C78" s="131"/>
      <c r="D78" s="131"/>
      <c r="E78" s="53"/>
      <c r="F78" s="53"/>
      <c r="G78" s="53"/>
      <c r="H78" s="130"/>
      <c r="I78" s="130"/>
      <c r="J78" s="130"/>
      <c r="K78" s="132"/>
      <c r="L78" s="131"/>
      <c r="M78" s="52"/>
      <c r="N78" s="128"/>
    </row>
    <row r="79" spans="1:14" s="124" customFormat="1" outlineLevel="2" x14ac:dyDescent="0.2">
      <c r="A79" s="173"/>
      <c r="B79" s="174"/>
      <c r="C79" s="238" t="s">
        <v>1008</v>
      </c>
      <c r="D79" s="240"/>
      <c r="E79" s="239"/>
      <c r="F79" s="220"/>
      <c r="G79" s="274" t="s">
        <v>716</v>
      </c>
      <c r="H79" s="160">
        <v>3.472222222222222E-3</v>
      </c>
      <c r="I79" s="227">
        <f>J77</f>
        <v>42624.270833333307</v>
      </c>
      <c r="J79" s="227">
        <f t="shared" ref="J79:J80" si="21">I79+H79</f>
        <v>42624.274305555526</v>
      </c>
      <c r="K79" s="220"/>
      <c r="L79" s="220"/>
      <c r="M79" s="174"/>
      <c r="N79" s="173"/>
    </row>
    <row r="80" spans="1:14" s="124" customFormat="1" outlineLevel="2" x14ac:dyDescent="0.2">
      <c r="A80" s="128"/>
      <c r="B80" s="52"/>
      <c r="C80" s="238" t="s">
        <v>964</v>
      </c>
      <c r="D80" s="240"/>
      <c r="E80" s="239" t="s">
        <v>966</v>
      </c>
      <c r="F80" s="220"/>
      <c r="G80" s="274" t="s">
        <v>716</v>
      </c>
      <c r="H80" s="160">
        <v>6.9444444444444441E-3</v>
      </c>
      <c r="I80" s="227">
        <f>J79</f>
        <v>42624.274305555526</v>
      </c>
      <c r="J80" s="227">
        <f t="shared" si="21"/>
        <v>42624.281249999971</v>
      </c>
      <c r="K80" s="220"/>
      <c r="L80" s="220" t="s">
        <v>885</v>
      </c>
      <c r="M80" s="52"/>
      <c r="N80" s="128"/>
    </row>
    <row r="81" spans="1:14" s="124" customFormat="1" outlineLevel="2" x14ac:dyDescent="0.2">
      <c r="A81" s="173"/>
      <c r="B81" s="174"/>
      <c r="C81" s="238" t="s">
        <v>999</v>
      </c>
      <c r="D81" s="240"/>
      <c r="E81" s="228" t="s">
        <v>203</v>
      </c>
      <c r="F81" s="245"/>
      <c r="G81" s="274" t="s">
        <v>716</v>
      </c>
      <c r="H81" s="160">
        <v>3.472222222222222E-3</v>
      </c>
      <c r="I81" s="227">
        <f t="shared" ref="I81:I100" si="22">J80</f>
        <v>42624.281249999971</v>
      </c>
      <c r="J81" s="227">
        <f t="shared" ref="J81:J101" si="23">I81+H81</f>
        <v>42624.28472222219</v>
      </c>
      <c r="K81" s="245"/>
      <c r="L81" s="245"/>
      <c r="M81" s="174"/>
      <c r="N81" s="173"/>
    </row>
    <row r="82" spans="1:14" s="11" customFormat="1" outlineLevel="2" x14ac:dyDescent="0.2">
      <c r="A82" s="128"/>
      <c r="B82" s="129"/>
      <c r="C82" s="245" t="s">
        <v>160</v>
      </c>
      <c r="D82" s="246"/>
      <c r="E82" s="228" t="s">
        <v>203</v>
      </c>
      <c r="F82" s="247"/>
      <c r="G82" s="274" t="s">
        <v>716</v>
      </c>
      <c r="H82" s="160">
        <v>3.472222222222222E-3</v>
      </c>
      <c r="I82" s="227">
        <f t="shared" si="22"/>
        <v>42624.28472222219</v>
      </c>
      <c r="J82" s="227">
        <f t="shared" si="23"/>
        <v>42624.288194444409</v>
      </c>
      <c r="K82" s="248"/>
      <c r="L82" s="246" t="s">
        <v>816</v>
      </c>
      <c r="M82" s="129"/>
      <c r="N82" s="128"/>
    </row>
    <row r="83" spans="1:14" s="11" customFormat="1" outlineLevel="2" x14ac:dyDescent="0.2">
      <c r="A83" s="173"/>
      <c r="B83" s="172"/>
      <c r="C83" s="245" t="s">
        <v>978</v>
      </c>
      <c r="D83" s="246"/>
      <c r="E83" s="228" t="s">
        <v>203</v>
      </c>
      <c r="F83" s="247"/>
      <c r="G83" s="229" t="s">
        <v>221</v>
      </c>
      <c r="H83" s="160">
        <v>3.472222222222222E-3</v>
      </c>
      <c r="I83" s="227">
        <f t="shared" si="22"/>
        <v>42624.288194444409</v>
      </c>
      <c r="J83" s="227">
        <f t="shared" si="23"/>
        <v>42624.291666666628</v>
      </c>
      <c r="K83" s="248"/>
      <c r="L83" s="246" t="s">
        <v>816</v>
      </c>
      <c r="M83" s="172"/>
      <c r="N83" s="173"/>
    </row>
    <row r="84" spans="1:14" s="11" customFormat="1" outlineLevel="2" x14ac:dyDescent="0.2">
      <c r="A84" s="12"/>
      <c r="B84" s="13"/>
      <c r="C84" s="220" t="s">
        <v>979</v>
      </c>
      <c r="D84" s="230"/>
      <c r="E84" s="228" t="s">
        <v>203</v>
      </c>
      <c r="F84" s="228"/>
      <c r="G84" s="274" t="s">
        <v>716</v>
      </c>
      <c r="H84" s="160">
        <v>3.472222222222222E-3</v>
      </c>
      <c r="I84" s="227">
        <f t="shared" si="22"/>
        <v>42624.291666666628</v>
      </c>
      <c r="J84" s="227">
        <f t="shared" si="23"/>
        <v>42624.295138888847</v>
      </c>
      <c r="K84" s="227"/>
      <c r="L84" s="246" t="s">
        <v>816</v>
      </c>
      <c r="M84" s="172"/>
      <c r="N84" s="173"/>
    </row>
    <row r="85" spans="1:14" s="11" customFormat="1" outlineLevel="2" x14ac:dyDescent="0.2">
      <c r="A85" s="128"/>
      <c r="B85" s="129"/>
      <c r="C85" s="220" t="s">
        <v>992</v>
      </c>
      <c r="D85" s="246"/>
      <c r="E85" s="228" t="s">
        <v>203</v>
      </c>
      <c r="F85" s="228" t="s">
        <v>171</v>
      </c>
      <c r="G85" s="274" t="s">
        <v>716</v>
      </c>
      <c r="H85" s="160">
        <v>6.9444444444444447E-4</v>
      </c>
      <c r="I85" s="227">
        <f t="shared" si="22"/>
        <v>42624.295138888847</v>
      </c>
      <c r="J85" s="227">
        <f t="shared" si="23"/>
        <v>42624.295833333294</v>
      </c>
      <c r="K85" s="248"/>
      <c r="L85" s="246" t="s">
        <v>816</v>
      </c>
      <c r="M85" s="129"/>
      <c r="N85" s="128"/>
    </row>
    <row r="86" spans="1:14" s="11" customFormat="1" outlineLevel="2" x14ac:dyDescent="0.2">
      <c r="A86" s="12"/>
      <c r="B86" s="13"/>
      <c r="C86" s="160" t="s">
        <v>208</v>
      </c>
      <c r="D86" s="230"/>
      <c r="E86" s="228" t="s">
        <v>203</v>
      </c>
      <c r="F86" s="228" t="s">
        <v>171</v>
      </c>
      <c r="G86" s="274" t="s">
        <v>716</v>
      </c>
      <c r="H86" s="160">
        <v>6.9444444444444447E-4</v>
      </c>
      <c r="I86" s="227">
        <f t="shared" si="22"/>
        <v>42624.295833333294</v>
      </c>
      <c r="J86" s="227">
        <f t="shared" si="23"/>
        <v>42624.29652777774</v>
      </c>
      <c r="K86" s="227"/>
      <c r="L86" s="246" t="s">
        <v>816</v>
      </c>
      <c r="M86" s="129"/>
      <c r="N86" s="128"/>
    </row>
    <row r="87" spans="1:14" s="11" customFormat="1" outlineLevel="2" x14ac:dyDescent="0.2">
      <c r="A87" s="12"/>
      <c r="B87" s="13"/>
      <c r="C87" s="160" t="s">
        <v>209</v>
      </c>
      <c r="D87" s="230"/>
      <c r="E87" s="228" t="s">
        <v>203</v>
      </c>
      <c r="F87" s="228" t="s">
        <v>171</v>
      </c>
      <c r="G87" s="274" t="s">
        <v>716</v>
      </c>
      <c r="H87" s="160">
        <v>3.472222222222222E-3</v>
      </c>
      <c r="I87" s="227">
        <f t="shared" si="22"/>
        <v>42624.29652777774</v>
      </c>
      <c r="J87" s="227">
        <f t="shared" si="23"/>
        <v>42624.299999999959</v>
      </c>
      <c r="K87" s="227"/>
      <c r="L87" s="246" t="s">
        <v>816</v>
      </c>
      <c r="M87" s="129"/>
      <c r="N87" s="128"/>
    </row>
    <row r="88" spans="1:14" s="11" customFormat="1" outlineLevel="2" x14ac:dyDescent="0.2">
      <c r="A88" s="12"/>
      <c r="B88" s="13"/>
      <c r="C88" s="160" t="s">
        <v>210</v>
      </c>
      <c r="D88" s="230"/>
      <c r="E88" s="228" t="s">
        <v>203</v>
      </c>
      <c r="F88" s="228" t="s">
        <v>171</v>
      </c>
      <c r="G88" s="274" t="s">
        <v>716</v>
      </c>
      <c r="H88" s="160">
        <v>3.472222222222222E-3</v>
      </c>
      <c r="I88" s="227">
        <f t="shared" si="22"/>
        <v>42624.299999999959</v>
      </c>
      <c r="J88" s="227">
        <f t="shared" si="23"/>
        <v>42624.303472222178</v>
      </c>
      <c r="K88" s="227"/>
      <c r="L88" s="246" t="s">
        <v>816</v>
      </c>
      <c r="M88" s="129"/>
      <c r="N88" s="128"/>
    </row>
    <row r="89" spans="1:14" s="11" customFormat="1" outlineLevel="2" x14ac:dyDescent="0.2">
      <c r="A89" s="12"/>
      <c r="B89" s="13"/>
      <c r="C89" s="160" t="s">
        <v>213</v>
      </c>
      <c r="D89" s="230"/>
      <c r="E89" s="228" t="s">
        <v>203</v>
      </c>
      <c r="F89" s="228" t="s">
        <v>171</v>
      </c>
      <c r="G89" s="274" t="s">
        <v>716</v>
      </c>
      <c r="H89" s="160">
        <v>1.3888888888888889E-3</v>
      </c>
      <c r="I89" s="227">
        <f t="shared" si="22"/>
        <v>42624.303472222178</v>
      </c>
      <c r="J89" s="227">
        <f t="shared" si="23"/>
        <v>42624.304861111064</v>
      </c>
      <c r="K89" s="227"/>
      <c r="L89" s="246" t="s">
        <v>816</v>
      </c>
      <c r="M89" s="129"/>
      <c r="N89" s="128"/>
    </row>
    <row r="90" spans="1:14" s="11" customFormat="1" ht="25.5" outlineLevel="2" x14ac:dyDescent="0.2">
      <c r="A90" s="12"/>
      <c r="B90" s="13"/>
      <c r="C90" s="160" t="s">
        <v>214</v>
      </c>
      <c r="D90" s="230"/>
      <c r="E90" s="228" t="s">
        <v>203</v>
      </c>
      <c r="F90" s="228" t="s">
        <v>171</v>
      </c>
      <c r="G90" s="274" t="s">
        <v>716</v>
      </c>
      <c r="H90" s="160">
        <v>1.3888888888888889E-3</v>
      </c>
      <c r="I90" s="227">
        <f t="shared" si="22"/>
        <v>42624.304861111064</v>
      </c>
      <c r="J90" s="227">
        <f t="shared" si="23"/>
        <v>42624.306249999951</v>
      </c>
      <c r="K90" s="227"/>
      <c r="L90" s="246" t="s">
        <v>816</v>
      </c>
      <c r="M90" s="129"/>
      <c r="N90" s="128"/>
    </row>
    <row r="91" spans="1:14" s="11" customFormat="1" ht="25.5" outlineLevel="2" x14ac:dyDescent="0.2">
      <c r="A91" s="12"/>
      <c r="B91" s="13"/>
      <c r="C91" s="160" t="s">
        <v>993</v>
      </c>
      <c r="D91" s="230"/>
      <c r="E91" s="228" t="s">
        <v>203</v>
      </c>
      <c r="F91" s="228" t="s">
        <v>171</v>
      </c>
      <c r="G91" s="274" t="s">
        <v>716</v>
      </c>
      <c r="H91" s="160">
        <v>6.9444444444444441E-3</v>
      </c>
      <c r="I91" s="227">
        <f t="shared" si="22"/>
        <v>42624.306249999951</v>
      </c>
      <c r="J91" s="227">
        <f t="shared" si="23"/>
        <v>42624.313194444396</v>
      </c>
      <c r="K91" s="227"/>
      <c r="L91" s="246" t="s">
        <v>996</v>
      </c>
      <c r="M91" s="129"/>
      <c r="N91" s="128"/>
    </row>
    <row r="92" spans="1:14" s="11" customFormat="1" ht="25.5" outlineLevel="2" x14ac:dyDescent="0.2">
      <c r="A92" s="12"/>
      <c r="B92" s="129"/>
      <c r="C92" s="241" t="s">
        <v>216</v>
      </c>
      <c r="D92" s="235"/>
      <c r="E92" s="236" t="s">
        <v>155</v>
      </c>
      <c r="F92" s="236"/>
      <c r="G92" s="244" t="s">
        <v>713</v>
      </c>
      <c r="H92" s="160"/>
      <c r="I92" s="227">
        <f t="shared" si="22"/>
        <v>42624.313194444396</v>
      </c>
      <c r="J92" s="227">
        <f t="shared" si="23"/>
        <v>42624.313194444396</v>
      </c>
      <c r="K92" s="227"/>
      <c r="L92" s="246" t="s">
        <v>816</v>
      </c>
      <c r="M92" s="129"/>
      <c r="N92" s="128"/>
    </row>
    <row r="93" spans="1:14" s="11" customFormat="1" outlineLevel="2" x14ac:dyDescent="0.2">
      <c r="A93" s="12"/>
      <c r="B93" s="172"/>
      <c r="C93" s="241" t="s">
        <v>216</v>
      </c>
      <c r="D93" s="235"/>
      <c r="E93" s="236" t="s">
        <v>155</v>
      </c>
      <c r="F93" s="236"/>
      <c r="G93" s="244" t="s">
        <v>712</v>
      </c>
      <c r="H93" s="160"/>
      <c r="I93" s="227">
        <f t="shared" si="22"/>
        <v>42624.313194444396</v>
      </c>
      <c r="J93" s="227">
        <f t="shared" si="23"/>
        <v>42624.313194444396</v>
      </c>
      <c r="K93" s="227"/>
      <c r="L93" s="246" t="s">
        <v>961</v>
      </c>
      <c r="M93" s="172"/>
      <c r="N93" s="173"/>
    </row>
    <row r="94" spans="1:14" s="11" customFormat="1" outlineLevel="2" x14ac:dyDescent="0.2">
      <c r="A94" s="12"/>
      <c r="B94" s="129"/>
      <c r="C94" s="220" t="s">
        <v>995</v>
      </c>
      <c r="D94" s="230"/>
      <c r="E94" s="228" t="s">
        <v>203</v>
      </c>
      <c r="F94" s="228" t="s">
        <v>171</v>
      </c>
      <c r="G94" s="274" t="s">
        <v>716</v>
      </c>
      <c r="H94" s="160">
        <v>6.9444444444444447E-4</v>
      </c>
      <c r="I94" s="227">
        <f t="shared" si="22"/>
        <v>42624.313194444396</v>
      </c>
      <c r="J94" s="227">
        <f t="shared" si="23"/>
        <v>42624.313888888842</v>
      </c>
      <c r="K94" s="227"/>
      <c r="L94" s="246" t="s">
        <v>816</v>
      </c>
      <c r="M94" s="129"/>
      <c r="N94" s="128"/>
    </row>
    <row r="95" spans="1:14" s="11" customFormat="1" outlineLevel="2" x14ac:dyDescent="0.2">
      <c r="A95" s="12"/>
      <c r="B95" s="129"/>
      <c r="C95" s="160" t="s">
        <v>982</v>
      </c>
      <c r="D95" s="228"/>
      <c r="E95" s="228" t="s">
        <v>203</v>
      </c>
      <c r="F95" s="228"/>
      <c r="G95" s="274" t="s">
        <v>716</v>
      </c>
      <c r="H95" s="160">
        <v>6.9444444444444447E-4</v>
      </c>
      <c r="I95" s="227">
        <f t="shared" si="22"/>
        <v>42624.313888888842</v>
      </c>
      <c r="J95" s="227">
        <f t="shared" si="23"/>
        <v>42624.314583333289</v>
      </c>
      <c r="K95" s="227"/>
      <c r="L95" s="246" t="s">
        <v>816</v>
      </c>
      <c r="M95" s="129"/>
      <c r="N95" s="128"/>
    </row>
    <row r="96" spans="1:14" s="11" customFormat="1" outlineLevel="2" x14ac:dyDescent="0.2">
      <c r="A96" s="12"/>
      <c r="B96" s="129"/>
      <c r="C96" s="220" t="s">
        <v>994</v>
      </c>
      <c r="D96" s="228"/>
      <c r="E96" s="228" t="s">
        <v>203</v>
      </c>
      <c r="F96" s="228" t="s">
        <v>171</v>
      </c>
      <c r="G96" s="274" t="s">
        <v>716</v>
      </c>
      <c r="H96" s="160">
        <v>2.0833333333333333E-3</v>
      </c>
      <c r="I96" s="227">
        <f t="shared" si="22"/>
        <v>42624.314583333289</v>
      </c>
      <c r="J96" s="227">
        <f t="shared" si="23"/>
        <v>42624.316666666622</v>
      </c>
      <c r="K96" s="227"/>
      <c r="L96" s="246" t="s">
        <v>816</v>
      </c>
      <c r="M96" s="129"/>
      <c r="N96" s="128"/>
    </row>
    <row r="97" spans="1:14" s="11" customFormat="1" ht="25.5" outlineLevel="2" x14ac:dyDescent="0.2">
      <c r="A97" s="12"/>
      <c r="B97" s="129"/>
      <c r="C97" s="241"/>
      <c r="D97" s="236"/>
      <c r="E97" s="236" t="s">
        <v>203</v>
      </c>
      <c r="F97" s="236" t="s">
        <v>171</v>
      </c>
      <c r="G97" s="244" t="s">
        <v>713</v>
      </c>
      <c r="H97" s="241"/>
      <c r="I97" s="227">
        <f t="shared" si="22"/>
        <v>42624.316666666622</v>
      </c>
      <c r="J97" s="227">
        <f t="shared" si="23"/>
        <v>42624.316666666622</v>
      </c>
      <c r="K97" s="227"/>
      <c r="L97" s="246" t="s">
        <v>816</v>
      </c>
      <c r="M97" s="129"/>
      <c r="N97" s="128"/>
    </row>
    <row r="98" spans="1:14" s="11" customFormat="1" ht="25.5" outlineLevel="2" x14ac:dyDescent="0.2">
      <c r="A98" s="12"/>
      <c r="B98" s="129"/>
      <c r="C98" s="241" t="s">
        <v>217</v>
      </c>
      <c r="D98" s="236"/>
      <c r="E98" s="236" t="s">
        <v>203</v>
      </c>
      <c r="F98" s="236" t="s">
        <v>171</v>
      </c>
      <c r="G98" s="244" t="s">
        <v>713</v>
      </c>
      <c r="H98" s="160"/>
      <c r="I98" s="227">
        <f t="shared" si="22"/>
        <v>42624.316666666622</v>
      </c>
      <c r="J98" s="227">
        <f t="shared" si="23"/>
        <v>42624.316666666622</v>
      </c>
      <c r="K98" s="227"/>
      <c r="L98" s="246" t="s">
        <v>816</v>
      </c>
      <c r="M98" s="129"/>
      <c r="N98" s="128"/>
    </row>
    <row r="99" spans="1:14" s="11" customFormat="1" ht="25.5" outlineLevel="2" x14ac:dyDescent="0.2">
      <c r="A99" s="12"/>
      <c r="B99" s="129"/>
      <c r="C99" s="241" t="s">
        <v>218</v>
      </c>
      <c r="D99" s="236"/>
      <c r="E99" s="236" t="s">
        <v>203</v>
      </c>
      <c r="F99" s="236" t="s">
        <v>171</v>
      </c>
      <c r="G99" s="244" t="s">
        <v>713</v>
      </c>
      <c r="H99" s="241"/>
      <c r="I99" s="227">
        <f t="shared" si="22"/>
        <v>42624.316666666622</v>
      </c>
      <c r="J99" s="227">
        <f t="shared" si="23"/>
        <v>42624.316666666622</v>
      </c>
      <c r="K99" s="227"/>
      <c r="L99" s="246" t="s">
        <v>816</v>
      </c>
      <c r="M99" s="129"/>
      <c r="N99" s="128"/>
    </row>
    <row r="100" spans="1:14" s="11" customFormat="1" outlineLevel="2" x14ac:dyDescent="0.2">
      <c r="A100" s="12"/>
      <c r="B100" s="129"/>
      <c r="C100" s="160" t="s">
        <v>219</v>
      </c>
      <c r="D100" s="228"/>
      <c r="E100" s="228" t="s">
        <v>203</v>
      </c>
      <c r="F100" s="228" t="s">
        <v>171</v>
      </c>
      <c r="G100" s="274" t="s">
        <v>716</v>
      </c>
      <c r="H100" s="160">
        <v>2.0833333333333333E-3</v>
      </c>
      <c r="I100" s="227">
        <f t="shared" si="22"/>
        <v>42624.316666666622</v>
      </c>
      <c r="J100" s="227">
        <f t="shared" si="23"/>
        <v>42624.318749999955</v>
      </c>
      <c r="K100" s="227"/>
      <c r="L100" s="246" t="s">
        <v>816</v>
      </c>
      <c r="M100" s="129"/>
      <c r="N100" s="128"/>
    </row>
    <row r="101" spans="1:14" s="11" customFormat="1" outlineLevel="2" x14ac:dyDescent="0.2">
      <c r="A101" s="12"/>
      <c r="B101" s="172"/>
      <c r="C101" s="197" t="s">
        <v>1057</v>
      </c>
      <c r="D101" s="182">
        <v>70</v>
      </c>
      <c r="E101" s="185" t="s">
        <v>169</v>
      </c>
      <c r="F101" s="185" t="s">
        <v>171</v>
      </c>
      <c r="G101" s="274" t="s">
        <v>716</v>
      </c>
      <c r="H101" s="186">
        <v>3.472222222222222E-3</v>
      </c>
      <c r="I101" s="68">
        <f>J100</f>
        <v>42624.318749999955</v>
      </c>
      <c r="J101" s="68">
        <f t="shared" si="23"/>
        <v>42624.322222222174</v>
      </c>
      <c r="K101" s="68"/>
      <c r="L101" s="66"/>
      <c r="M101" s="172"/>
      <c r="N101" s="173"/>
    </row>
    <row r="102" spans="1:14" outlineLevel="2" x14ac:dyDescent="0.2">
      <c r="A102" s="128"/>
      <c r="B102" s="52" t="s">
        <v>795</v>
      </c>
      <c r="C102" s="131"/>
      <c r="D102" s="131"/>
      <c r="E102" s="53"/>
      <c r="F102" s="53"/>
      <c r="G102" s="53"/>
      <c r="H102" s="130"/>
      <c r="I102" s="153" t="e">
        <f>#REF!</f>
        <v>#REF!</v>
      </c>
      <c r="J102" s="153" t="e">
        <f t="shared" ref="J102" si="24">I102+H102</f>
        <v>#REF!</v>
      </c>
      <c r="K102" s="132"/>
      <c r="L102" s="131"/>
      <c r="M102" s="52"/>
      <c r="N102" s="128"/>
    </row>
    <row r="103" spans="1:14" s="124" customFormat="1" outlineLevel="2" x14ac:dyDescent="0.2">
      <c r="A103" s="12"/>
      <c r="B103" s="13"/>
      <c r="C103" s="238" t="s">
        <v>820</v>
      </c>
      <c r="D103" s="240"/>
      <c r="E103" s="228" t="s">
        <v>203</v>
      </c>
      <c r="F103" s="228" t="s">
        <v>171</v>
      </c>
      <c r="G103" s="274" t="s">
        <v>716</v>
      </c>
      <c r="H103" s="160">
        <v>6.9444444444444447E-4</v>
      </c>
      <c r="I103" s="227">
        <v>42624.333333333336</v>
      </c>
      <c r="J103" s="227">
        <f>I103+H103</f>
        <v>42624.334027777782</v>
      </c>
      <c r="K103" s="227"/>
      <c r="L103" s="246" t="s">
        <v>817</v>
      </c>
      <c r="M103" s="129"/>
      <c r="N103" s="128"/>
    </row>
    <row r="104" spans="1:14" s="124" customFormat="1" outlineLevel="2" x14ac:dyDescent="0.2">
      <c r="A104" s="12"/>
      <c r="B104" s="13"/>
      <c r="C104" s="238" t="s">
        <v>964</v>
      </c>
      <c r="D104" s="240"/>
      <c r="E104" s="239" t="s">
        <v>966</v>
      </c>
      <c r="F104" s="239"/>
      <c r="G104" s="274" t="s">
        <v>716</v>
      </c>
      <c r="H104" s="160"/>
      <c r="I104" s="227"/>
      <c r="J104" s="227"/>
      <c r="K104" s="240"/>
      <c r="L104" s="246"/>
      <c r="M104" s="172"/>
      <c r="N104" s="173"/>
    </row>
    <row r="105" spans="1:14" s="124" customFormat="1" outlineLevel="2" x14ac:dyDescent="0.2">
      <c r="A105" s="12"/>
      <c r="B105" s="13"/>
      <c r="C105" s="220" t="s">
        <v>796</v>
      </c>
      <c r="D105" s="240"/>
      <c r="E105" s="239" t="s">
        <v>965</v>
      </c>
      <c r="F105" s="239"/>
      <c r="G105" s="274" t="s">
        <v>716</v>
      </c>
      <c r="H105" s="160">
        <v>8.3333333333333329E-2</v>
      </c>
      <c r="I105" s="227">
        <f>J103</f>
        <v>42624.334027777782</v>
      </c>
      <c r="J105" s="227">
        <f>I105+H105</f>
        <v>42624.417361111118</v>
      </c>
      <c r="K105" s="238"/>
      <c r="L105" s="238"/>
      <c r="M105" s="129"/>
      <c r="N105" s="128"/>
    </row>
    <row r="106" spans="1:14" s="124" customFormat="1" ht="38.25" outlineLevel="2" x14ac:dyDescent="0.2">
      <c r="A106" s="12"/>
      <c r="B106" s="13"/>
      <c r="C106" s="220" t="s">
        <v>1060</v>
      </c>
      <c r="D106" s="240"/>
      <c r="E106" s="228" t="s">
        <v>1061</v>
      </c>
      <c r="F106" s="228" t="s">
        <v>1061</v>
      </c>
      <c r="G106" s="274" t="s">
        <v>716</v>
      </c>
      <c r="H106" s="160">
        <v>3.472222222222222E-3</v>
      </c>
      <c r="I106" s="227">
        <f>J103</f>
        <v>42624.334027777782</v>
      </c>
      <c r="J106" s="227">
        <f t="shared" ref="J106:J107" si="25">I106+H106</f>
        <v>42624.337500000001</v>
      </c>
      <c r="K106" s="238"/>
      <c r="L106" s="238" t="s">
        <v>1062</v>
      </c>
      <c r="M106" s="172"/>
      <c r="N106" s="173"/>
    </row>
    <row r="107" spans="1:14" s="124" customFormat="1" outlineLevel="2" x14ac:dyDescent="0.2">
      <c r="A107" s="12"/>
      <c r="B107" s="13"/>
      <c r="C107" s="220" t="s">
        <v>1054</v>
      </c>
      <c r="D107" s="230"/>
      <c r="E107" s="228" t="s">
        <v>203</v>
      </c>
      <c r="F107" s="228" t="s">
        <v>171</v>
      </c>
      <c r="G107" s="274" t="s">
        <v>716</v>
      </c>
      <c r="H107" s="160">
        <v>3.125E-2</v>
      </c>
      <c r="I107" s="227">
        <f>J103</f>
        <v>42624.334027777782</v>
      </c>
      <c r="J107" s="227">
        <f t="shared" si="25"/>
        <v>42624.365277777782</v>
      </c>
      <c r="K107" s="238"/>
      <c r="L107" s="238"/>
      <c r="M107" s="172"/>
      <c r="N107" s="173"/>
    </row>
    <row r="108" spans="1:14" s="124" customFormat="1" outlineLevel="2" x14ac:dyDescent="0.2">
      <c r="A108" s="12"/>
      <c r="B108" s="13"/>
      <c r="C108" s="238" t="s">
        <v>963</v>
      </c>
      <c r="D108" s="240"/>
      <c r="E108" s="239" t="s">
        <v>966</v>
      </c>
      <c r="F108" s="239"/>
      <c r="G108" s="249"/>
      <c r="H108" s="238"/>
      <c r="I108" s="240"/>
      <c r="J108" s="240"/>
      <c r="K108" s="238"/>
      <c r="L108" s="238"/>
      <c r="M108" s="172"/>
      <c r="N108" s="173"/>
    </row>
    <row r="109" spans="1:14" outlineLevel="2" x14ac:dyDescent="0.2">
      <c r="A109" s="22"/>
      <c r="B109" s="52" t="s">
        <v>166</v>
      </c>
      <c r="C109" s="25"/>
      <c r="D109" s="25"/>
      <c r="E109" s="53"/>
      <c r="F109" s="53"/>
      <c r="G109" s="53"/>
      <c r="H109" s="24"/>
      <c r="I109" s="90" t="e">
        <f>#REF!</f>
        <v>#REF!</v>
      </c>
      <c r="J109" s="90" t="e">
        <f t="shared" ref="J109" si="26">I109+H109</f>
        <v>#REF!</v>
      </c>
      <c r="K109" s="26"/>
      <c r="L109" s="25"/>
      <c r="M109" s="52"/>
      <c r="N109" s="22"/>
    </row>
    <row r="110" spans="1:14" outlineLevel="2" x14ac:dyDescent="0.2">
      <c r="A110" s="12"/>
      <c r="B110" s="13"/>
      <c r="C110" s="14" t="s">
        <v>811</v>
      </c>
      <c r="D110" s="16"/>
      <c r="E110"/>
      <c r="F110" s="79"/>
      <c r="G110" s="274" t="s">
        <v>716</v>
      </c>
      <c r="H110" s="176">
        <v>2.0833333333333332E-2</v>
      </c>
      <c r="I110" s="207">
        <v>42624.5</v>
      </c>
      <c r="J110" s="207">
        <f>I110+H110</f>
        <v>42624.520833333336</v>
      </c>
      <c r="K110" s="15"/>
      <c r="L110" s="15"/>
      <c r="M110" s="129"/>
      <c r="N110" s="128"/>
    </row>
    <row r="111" spans="1:14" outlineLevel="2" x14ac:dyDescent="0.2">
      <c r="A111" s="12"/>
      <c r="B111" s="13"/>
      <c r="C111" s="245" t="s">
        <v>991</v>
      </c>
      <c r="D111" s="240"/>
      <c r="E111" s="228" t="s">
        <v>203</v>
      </c>
      <c r="F111" s="228" t="s">
        <v>171</v>
      </c>
      <c r="G111" s="274" t="s">
        <v>716</v>
      </c>
      <c r="H111" s="160"/>
      <c r="I111" s="231"/>
      <c r="J111" s="231"/>
      <c r="K111" s="160"/>
      <c r="L111" s="238"/>
      <c r="M111" s="172"/>
      <c r="N111" s="173"/>
    </row>
    <row r="112" spans="1:14" s="124" customFormat="1" outlineLevel="2" x14ac:dyDescent="0.2">
      <c r="A112" s="12"/>
      <c r="B112" s="13"/>
      <c r="C112" s="238" t="s">
        <v>973</v>
      </c>
      <c r="D112" s="240"/>
      <c r="E112" s="228" t="s">
        <v>203</v>
      </c>
      <c r="F112" s="228" t="s">
        <v>171</v>
      </c>
      <c r="G112" s="274" t="s">
        <v>716</v>
      </c>
      <c r="H112" s="160">
        <v>2.0833333333333333E-3</v>
      </c>
      <c r="I112" s="227">
        <f>J110</f>
        <v>42624.520833333336</v>
      </c>
      <c r="J112" s="227">
        <f t="shared" ref="J112" si="27">I112+H112</f>
        <v>42624.522916666669</v>
      </c>
      <c r="K112" s="227"/>
      <c r="L112" s="246" t="s">
        <v>817</v>
      </c>
      <c r="M112" s="129"/>
      <c r="N112" s="128"/>
    </row>
    <row r="113" spans="1:14" s="124" customFormat="1" outlineLevel="2" x14ac:dyDescent="0.2">
      <c r="A113" s="12"/>
      <c r="B113" s="13"/>
      <c r="C113" s="238" t="s">
        <v>818</v>
      </c>
      <c r="D113" s="240"/>
      <c r="E113" s="228" t="s">
        <v>203</v>
      </c>
      <c r="F113" s="228" t="s">
        <v>171</v>
      </c>
      <c r="G113" s="274" t="s">
        <v>716</v>
      </c>
      <c r="H113" s="160">
        <v>2.0833333333333333E-3</v>
      </c>
      <c r="I113" s="227">
        <f t="shared" ref="I113:I126" si="28">J112</f>
        <v>42624.522916666669</v>
      </c>
      <c r="J113" s="227">
        <f t="shared" ref="J113:J126" si="29">I113+H113</f>
        <v>42624.525000000001</v>
      </c>
      <c r="K113" s="227"/>
      <c r="L113" s="246" t="s">
        <v>817</v>
      </c>
      <c r="M113" s="129"/>
      <c r="N113" s="128"/>
    </row>
    <row r="114" spans="1:14" s="124" customFormat="1" outlineLevel="2" x14ac:dyDescent="0.2">
      <c r="A114" s="12"/>
      <c r="B114" s="13"/>
      <c r="C114" s="238" t="s">
        <v>892</v>
      </c>
      <c r="D114" s="240"/>
      <c r="E114" s="228" t="s">
        <v>203</v>
      </c>
      <c r="F114" s="228" t="s">
        <v>171</v>
      </c>
      <c r="G114" s="274" t="s">
        <v>716</v>
      </c>
      <c r="H114" s="160">
        <v>3.472222222222222E-3</v>
      </c>
      <c r="I114" s="227">
        <f t="shared" si="28"/>
        <v>42624.525000000001</v>
      </c>
      <c r="J114" s="227">
        <f t="shared" si="29"/>
        <v>42624.52847222222</v>
      </c>
      <c r="K114" s="227"/>
      <c r="L114" s="246" t="s">
        <v>817</v>
      </c>
      <c r="M114" s="129"/>
      <c r="N114" s="128"/>
    </row>
    <row r="115" spans="1:14" ht="25.5" outlineLevel="2" x14ac:dyDescent="0.2">
      <c r="A115" s="12"/>
      <c r="B115" s="13"/>
      <c r="C115" s="241" t="s">
        <v>149</v>
      </c>
      <c r="D115" s="242"/>
      <c r="E115" s="250" t="s">
        <v>201</v>
      </c>
      <c r="F115" s="241" t="s">
        <v>150</v>
      </c>
      <c r="G115" s="237" t="s">
        <v>713</v>
      </c>
      <c r="H115" s="241">
        <v>0</v>
      </c>
      <c r="I115" s="242">
        <f t="shared" si="28"/>
        <v>42624.52847222222</v>
      </c>
      <c r="J115" s="242">
        <f t="shared" si="29"/>
        <v>42624.52847222222</v>
      </c>
      <c r="K115" s="160"/>
      <c r="L115" s="160" t="s">
        <v>967</v>
      </c>
      <c r="M115" s="23"/>
      <c r="N115" s="22"/>
    </row>
    <row r="116" spans="1:14" outlineLevel="2" x14ac:dyDescent="0.2">
      <c r="A116" s="12"/>
      <c r="B116" s="13"/>
      <c r="C116" s="160" t="s">
        <v>969</v>
      </c>
      <c r="D116" s="227"/>
      <c r="E116" s="251" t="s">
        <v>970</v>
      </c>
      <c r="F116" s="160" t="s">
        <v>971</v>
      </c>
      <c r="G116" s="274" t="s">
        <v>716</v>
      </c>
      <c r="H116" s="160">
        <v>3.472222222222222E-3</v>
      </c>
      <c r="I116" s="227">
        <f>J110</f>
        <v>42624.520833333336</v>
      </c>
      <c r="J116" s="227">
        <f t="shared" ref="J116" si="30">I116+H116</f>
        <v>42624.524305555555</v>
      </c>
      <c r="K116" s="160"/>
      <c r="L116" s="160" t="s">
        <v>974</v>
      </c>
      <c r="M116" s="172"/>
      <c r="N116" s="173"/>
    </row>
    <row r="117" spans="1:14" ht="25.5" outlineLevel="2" x14ac:dyDescent="0.2">
      <c r="A117" s="12"/>
      <c r="B117" s="13"/>
      <c r="C117" s="160" t="s">
        <v>914</v>
      </c>
      <c r="D117" s="227"/>
      <c r="E117" s="252" t="s">
        <v>201</v>
      </c>
      <c r="F117" s="160" t="s">
        <v>150</v>
      </c>
      <c r="G117" s="274" t="s">
        <v>716</v>
      </c>
      <c r="H117" s="160">
        <v>6.9444444444444441E-3</v>
      </c>
      <c r="I117" s="227">
        <f>J110</f>
        <v>42624.520833333336</v>
      </c>
      <c r="J117" s="227">
        <f t="shared" si="29"/>
        <v>42624.527777777781</v>
      </c>
      <c r="K117" s="160"/>
      <c r="L117" s="160" t="s">
        <v>968</v>
      </c>
      <c r="M117" s="23"/>
      <c r="N117" s="22"/>
    </row>
    <row r="118" spans="1:14" outlineLevel="2" x14ac:dyDescent="0.2">
      <c r="A118" s="12"/>
      <c r="B118" s="13"/>
      <c r="C118" s="160" t="s">
        <v>972</v>
      </c>
      <c r="D118" s="227"/>
      <c r="E118" s="251" t="s">
        <v>970</v>
      </c>
      <c r="F118" s="160" t="s">
        <v>971</v>
      </c>
      <c r="G118" s="274" t="s">
        <v>716</v>
      </c>
      <c r="H118" s="160">
        <v>3.472222222222222E-3</v>
      </c>
      <c r="I118" s="227">
        <f>J116</f>
        <v>42624.524305555555</v>
      </c>
      <c r="J118" s="227">
        <f t="shared" si="29"/>
        <v>42624.527777777774</v>
      </c>
      <c r="K118" s="160"/>
      <c r="L118" s="160"/>
      <c r="M118" s="172"/>
      <c r="N118" s="173"/>
    </row>
    <row r="119" spans="1:14" outlineLevel="2" x14ac:dyDescent="0.2">
      <c r="A119" s="12"/>
      <c r="B119" s="13"/>
      <c r="C119" s="160" t="s">
        <v>915</v>
      </c>
      <c r="D119" s="227"/>
      <c r="E119" s="252" t="s">
        <v>916</v>
      </c>
      <c r="F119" s="160"/>
      <c r="G119" s="274" t="s">
        <v>716</v>
      </c>
      <c r="H119" s="160">
        <v>6.9444444444444441E-3</v>
      </c>
      <c r="I119" s="227">
        <f>J117</f>
        <v>42624.527777777781</v>
      </c>
      <c r="J119" s="227">
        <f t="shared" si="29"/>
        <v>42624.534722222226</v>
      </c>
      <c r="K119" s="160"/>
      <c r="L119" s="160"/>
      <c r="M119" s="23"/>
      <c r="N119" s="22"/>
    </row>
    <row r="120" spans="1:14" outlineLevel="2" x14ac:dyDescent="0.2">
      <c r="A120" s="12"/>
      <c r="B120" s="13"/>
      <c r="C120" s="238" t="s">
        <v>931</v>
      </c>
      <c r="D120" s="240"/>
      <c r="E120" s="253" t="s">
        <v>178</v>
      </c>
      <c r="F120" s="253" t="s">
        <v>923</v>
      </c>
      <c r="G120" s="274" t="s">
        <v>716</v>
      </c>
      <c r="H120" s="160">
        <v>6.9444444444444441E-3</v>
      </c>
      <c r="I120" s="227">
        <f>J119</f>
        <v>42624.534722222226</v>
      </c>
      <c r="J120" s="227">
        <f t="shared" si="29"/>
        <v>42624.541666666672</v>
      </c>
      <c r="K120" s="238"/>
      <c r="L120" s="238"/>
      <c r="M120" s="172"/>
      <c r="N120" s="173"/>
    </row>
    <row r="121" spans="1:14" s="124" customFormat="1" ht="25.5" outlineLevel="2" x14ac:dyDescent="0.2">
      <c r="A121" s="12"/>
      <c r="B121" s="13"/>
      <c r="C121" s="159" t="s">
        <v>815</v>
      </c>
      <c r="D121" s="60"/>
      <c r="E121"/>
      <c r="F121" s="59"/>
      <c r="G121" s="196" t="s">
        <v>713</v>
      </c>
      <c r="H121" s="59"/>
      <c r="I121" s="177"/>
      <c r="J121" s="177"/>
      <c r="K121" s="59"/>
      <c r="L121" s="59"/>
      <c r="M121" s="129"/>
      <c r="N121" s="128"/>
    </row>
    <row r="122" spans="1:14" outlineLevel="2" x14ac:dyDescent="0.2">
      <c r="A122" s="12"/>
      <c r="B122" s="13"/>
      <c r="C122" s="156" t="s">
        <v>853</v>
      </c>
      <c r="D122" s="157"/>
      <c r="E122" s="158" t="s">
        <v>856</v>
      </c>
      <c r="F122" s="14" t="s">
        <v>837</v>
      </c>
      <c r="G122" s="274" t="s">
        <v>716</v>
      </c>
      <c r="H122" s="176">
        <v>1.0416666666666666E-2</v>
      </c>
      <c r="I122" s="177">
        <f>J119</f>
        <v>42624.534722222226</v>
      </c>
      <c r="J122" s="177">
        <f t="shared" si="29"/>
        <v>42624.545138888891</v>
      </c>
      <c r="K122" s="156"/>
      <c r="L122" s="156"/>
      <c r="M122" s="129"/>
      <c r="N122" s="128"/>
    </row>
    <row r="123" spans="1:14" ht="25.5" outlineLevel="2" x14ac:dyDescent="0.2">
      <c r="A123" s="12"/>
      <c r="B123" s="13"/>
      <c r="C123" s="156" t="s">
        <v>854</v>
      </c>
      <c r="D123" s="157"/>
      <c r="E123" s="158" t="s">
        <v>857</v>
      </c>
      <c r="F123" s="14" t="s">
        <v>859</v>
      </c>
      <c r="G123" s="196" t="s">
        <v>713</v>
      </c>
      <c r="H123" s="176">
        <v>2.0833333333333332E-2</v>
      </c>
      <c r="I123" s="177">
        <f>J119</f>
        <v>42624.534722222226</v>
      </c>
      <c r="J123" s="177">
        <f t="shared" si="29"/>
        <v>42624.555555555562</v>
      </c>
      <c r="K123" s="156"/>
      <c r="L123" s="156"/>
      <c r="M123" s="129"/>
      <c r="N123" s="128"/>
    </row>
    <row r="124" spans="1:14" ht="38.25" outlineLevel="2" x14ac:dyDescent="0.2">
      <c r="A124" s="12"/>
      <c r="B124" s="13"/>
      <c r="C124" s="156" t="s">
        <v>855</v>
      </c>
      <c r="D124" s="157"/>
      <c r="E124" s="158" t="s">
        <v>858</v>
      </c>
      <c r="F124" s="14" t="s">
        <v>860</v>
      </c>
      <c r="G124" s="274" t="s">
        <v>716</v>
      </c>
      <c r="H124" s="176">
        <v>1.0416666666666666E-2</v>
      </c>
      <c r="I124" s="177">
        <f>J119</f>
        <v>42624.534722222226</v>
      </c>
      <c r="J124" s="177">
        <f t="shared" si="29"/>
        <v>42624.545138888891</v>
      </c>
      <c r="K124" s="156"/>
      <c r="L124" s="156"/>
      <c r="M124" s="129"/>
      <c r="N124" s="128"/>
    </row>
    <row r="125" spans="1:14" s="4" customFormat="1" outlineLevel="2" x14ac:dyDescent="0.2">
      <c r="A125" s="12"/>
      <c r="B125" s="13"/>
      <c r="C125" s="59" t="s">
        <v>819</v>
      </c>
      <c r="D125" s="60"/>
      <c r="E125"/>
      <c r="F125" s="59" t="s">
        <v>167</v>
      </c>
      <c r="G125" s="274" t="s">
        <v>716</v>
      </c>
      <c r="H125" s="176">
        <v>6.9444444444444441E-3</v>
      </c>
      <c r="I125" s="177">
        <f t="shared" si="28"/>
        <v>42624.545138888891</v>
      </c>
      <c r="J125" s="177">
        <f t="shared" si="29"/>
        <v>42624.552083333336</v>
      </c>
      <c r="K125" s="59"/>
      <c r="L125" s="59"/>
      <c r="M125" s="23"/>
      <c r="N125" s="22"/>
    </row>
    <row r="126" spans="1:14" s="124" customFormat="1" ht="25.5" outlineLevel="2" x14ac:dyDescent="0.2">
      <c r="A126" s="12"/>
      <c r="B126" s="13"/>
      <c r="C126" s="66" t="s">
        <v>812</v>
      </c>
      <c r="D126" s="60"/>
      <c r="E126"/>
      <c r="F126" s="59" t="s">
        <v>918</v>
      </c>
      <c r="G126" s="196" t="s">
        <v>713</v>
      </c>
      <c r="H126" s="176">
        <v>6.9444444444444441E-3</v>
      </c>
      <c r="I126" s="177">
        <f t="shared" si="28"/>
        <v>42624.552083333336</v>
      </c>
      <c r="J126" s="177">
        <f t="shared" si="29"/>
        <v>42624.559027777781</v>
      </c>
      <c r="K126" s="59"/>
      <c r="L126" s="59"/>
      <c r="M126" s="129"/>
      <c r="N126" s="128"/>
    </row>
    <row r="127" spans="1:14" s="124" customFormat="1" ht="25.5" outlineLevel="2" x14ac:dyDescent="0.2">
      <c r="A127" s="12"/>
      <c r="B127" s="13"/>
      <c r="C127" s="66" t="s">
        <v>917</v>
      </c>
      <c r="D127" s="183"/>
      <c r="E127"/>
      <c r="F127" s="59" t="s">
        <v>918</v>
      </c>
      <c r="G127" s="196" t="s">
        <v>713</v>
      </c>
      <c r="H127" s="176">
        <v>6.9444444444444441E-3</v>
      </c>
      <c r="I127" s="177">
        <f>J126</f>
        <v>42624.559027777781</v>
      </c>
      <c r="J127" s="177">
        <f t="shared" ref="J127" si="31">I127+H127</f>
        <v>42624.565972222226</v>
      </c>
      <c r="K127" s="59"/>
      <c r="L127" s="59"/>
      <c r="M127" s="172"/>
      <c r="N127" s="173"/>
    </row>
    <row r="128" spans="1:14" x14ac:dyDescent="0.2">
      <c r="A128" s="37"/>
      <c r="B128" s="135"/>
      <c r="C128" s="45"/>
      <c r="D128" s="46"/>
      <c r="E128" s="47"/>
      <c r="F128" s="47"/>
      <c r="G128" s="49"/>
      <c r="H128" s="49"/>
      <c r="I128" s="50"/>
      <c r="J128" s="50"/>
      <c r="K128" s="45"/>
      <c r="L128" s="45"/>
      <c r="M128" s="135"/>
      <c r="N128" s="136"/>
    </row>
    <row r="129" spans="1:14" s="124" customFormat="1" outlineLevel="2" x14ac:dyDescent="0.2">
      <c r="A129" s="147" t="s">
        <v>105</v>
      </c>
      <c r="B129" s="148"/>
      <c r="C129" s="149"/>
      <c r="D129" s="149"/>
      <c r="E129" s="150"/>
      <c r="F129" s="151"/>
      <c r="G129" s="150"/>
      <c r="H129" s="150"/>
      <c r="I129" s="152"/>
      <c r="J129" s="152"/>
      <c r="K129" s="152"/>
      <c r="L129" s="149"/>
      <c r="M129" s="148"/>
      <c r="N129" s="147"/>
    </row>
    <row r="130" spans="1:14" s="124" customFormat="1" outlineLevel="2" x14ac:dyDescent="0.2">
      <c r="A130" s="128"/>
      <c r="B130" s="52" t="s">
        <v>809</v>
      </c>
      <c r="C130" s="131"/>
      <c r="D130" s="131"/>
      <c r="E130" s="53"/>
      <c r="F130" s="53"/>
      <c r="G130" s="178"/>
      <c r="H130" s="130"/>
      <c r="I130" s="130"/>
      <c r="J130" s="130"/>
      <c r="K130" s="132"/>
      <c r="L130" s="131"/>
      <c r="M130" s="52"/>
      <c r="N130" s="128"/>
    </row>
    <row r="131" spans="1:14" ht="331.5" outlineLevel="2" x14ac:dyDescent="0.2">
      <c r="A131" s="12"/>
      <c r="B131" s="13"/>
      <c r="C131" s="14" t="s">
        <v>901</v>
      </c>
      <c r="D131" s="29">
        <v>22</v>
      </c>
      <c r="E131" s="17" t="s">
        <v>28</v>
      </c>
      <c r="F131" s="17" t="s">
        <v>30</v>
      </c>
      <c r="G131" s="274" t="s">
        <v>716</v>
      </c>
      <c r="H131" s="15">
        <v>0.33333333333333331</v>
      </c>
      <c r="I131" s="16">
        <v>42624.333333333336</v>
      </c>
      <c r="J131" s="16">
        <f t="shared" ref="J131" si="32">I131+H131</f>
        <v>42624.666666666672</v>
      </c>
      <c r="K131" s="16"/>
      <c r="L131" s="14" t="s">
        <v>779</v>
      </c>
      <c r="M131" s="129"/>
      <c r="N131" s="128"/>
    </row>
    <row r="132" spans="1:14" s="124" customFormat="1" ht="25.5" outlineLevel="2" x14ac:dyDescent="0.2">
      <c r="A132" s="128"/>
      <c r="B132" s="129"/>
      <c r="C132" s="159" t="s">
        <v>810</v>
      </c>
      <c r="D132" s="143"/>
      <c r="E132" s="17"/>
      <c r="F132" s="55"/>
      <c r="G132" s="196" t="s">
        <v>713</v>
      </c>
      <c r="H132" s="57"/>
      <c r="I132" s="16"/>
      <c r="J132" s="16"/>
      <c r="K132" s="58"/>
      <c r="L132" s="143"/>
      <c r="M132" s="129"/>
      <c r="N132" s="128"/>
    </row>
    <row r="133" spans="1:14" ht="25.5" outlineLevel="2" x14ac:dyDescent="0.2">
      <c r="A133" s="12"/>
      <c r="B133" s="13"/>
      <c r="C133" s="156" t="s">
        <v>864</v>
      </c>
      <c r="D133" s="157"/>
      <c r="E133" s="158" t="s">
        <v>861</v>
      </c>
      <c r="F133" s="14" t="s">
        <v>869</v>
      </c>
      <c r="G133" s="196" t="s">
        <v>713</v>
      </c>
      <c r="H133" s="156"/>
      <c r="I133" s="157"/>
      <c r="J133" s="157"/>
      <c r="K133" s="156"/>
      <c r="L133" s="156"/>
      <c r="M133" s="129"/>
      <c r="N133" s="128"/>
    </row>
    <row r="134" spans="1:14" ht="25.5" outlineLevel="2" x14ac:dyDescent="0.2">
      <c r="A134" s="12"/>
      <c r="B134" s="13"/>
      <c r="C134" s="156" t="s">
        <v>865</v>
      </c>
      <c r="D134" s="157"/>
      <c r="E134" s="158" t="s">
        <v>821</v>
      </c>
      <c r="F134" s="14" t="s">
        <v>870</v>
      </c>
      <c r="G134" s="196" t="s">
        <v>713</v>
      </c>
      <c r="H134" s="156"/>
      <c r="I134" s="157"/>
      <c r="J134" s="157"/>
      <c r="K134" s="156"/>
      <c r="L134" s="156"/>
      <c r="M134" s="129"/>
      <c r="N134" s="128"/>
    </row>
    <row r="135" spans="1:14" ht="25.5" outlineLevel="2" x14ac:dyDescent="0.2">
      <c r="A135" s="12"/>
      <c r="B135" s="13"/>
      <c r="C135" s="156" t="s">
        <v>866</v>
      </c>
      <c r="D135" s="157"/>
      <c r="E135" s="158" t="s">
        <v>862</v>
      </c>
      <c r="F135" s="14" t="s">
        <v>838</v>
      </c>
      <c r="G135" s="196" t="s">
        <v>713</v>
      </c>
      <c r="H135" s="156"/>
      <c r="I135" s="157"/>
      <c r="J135" s="157"/>
      <c r="K135" s="156"/>
      <c r="L135" s="156"/>
      <c r="M135" s="129"/>
      <c r="N135" s="128"/>
    </row>
    <row r="136" spans="1:14" ht="25.5" outlineLevel="2" x14ac:dyDescent="0.2">
      <c r="A136" s="12"/>
      <c r="B136" s="13"/>
      <c r="C136" s="156" t="s">
        <v>867</v>
      </c>
      <c r="D136" s="157"/>
      <c r="E136" s="158" t="s">
        <v>852</v>
      </c>
      <c r="F136" s="14" t="s">
        <v>837</v>
      </c>
      <c r="G136" s="196" t="s">
        <v>713</v>
      </c>
      <c r="H136" s="156"/>
      <c r="I136" s="157"/>
      <c r="J136" s="157"/>
      <c r="K136" s="156"/>
      <c r="L136" s="156"/>
      <c r="M136" s="129"/>
      <c r="N136" s="128"/>
    </row>
    <row r="137" spans="1:14" ht="25.5" outlineLevel="2" x14ac:dyDescent="0.2">
      <c r="A137" s="12"/>
      <c r="B137" s="13"/>
      <c r="C137" s="156" t="s">
        <v>868</v>
      </c>
      <c r="D137" s="157"/>
      <c r="E137" s="158" t="s">
        <v>863</v>
      </c>
      <c r="F137" s="14" t="s">
        <v>870</v>
      </c>
      <c r="G137" s="196" t="s">
        <v>713</v>
      </c>
      <c r="H137" s="156"/>
      <c r="I137" s="157"/>
      <c r="J137" s="157"/>
      <c r="K137" s="156"/>
      <c r="L137" s="156"/>
      <c r="M137" s="129"/>
      <c r="N137" s="128"/>
    </row>
    <row r="138" spans="1:14" x14ac:dyDescent="0.2">
      <c r="A138" s="37"/>
      <c r="B138" s="135"/>
      <c r="C138" s="45"/>
      <c r="D138" s="46"/>
      <c r="E138" s="47"/>
      <c r="F138" s="47"/>
      <c r="G138" s="48"/>
      <c r="H138" s="49"/>
      <c r="I138" s="50"/>
      <c r="J138" s="50"/>
      <c r="K138" s="45"/>
      <c r="L138" s="45"/>
      <c r="M138" s="135"/>
      <c r="N138" s="136"/>
    </row>
  </sheetData>
  <conditionalFormatting sqref="G132:G137 G15 G9:G10 G121 G78 G64 G108 G66:G67 G115 G123 G126:G127">
    <cfRule type="cellIs" dxfId="523" priority="585" operator="equal">
      <formula>"N/A"</formula>
    </cfRule>
    <cfRule type="cellIs" dxfId="522" priority="586" stopIfTrue="1" operator="equal">
      <formula>"Failed"</formula>
    </cfRule>
    <cfRule type="cellIs" dxfId="521" priority="587" stopIfTrue="1" operator="equal">
      <formula>"In progress"</formula>
    </cfRule>
    <cfRule type="cellIs" dxfId="520" priority="588" stopIfTrue="1" operator="equal">
      <formula>"Passed"</formula>
    </cfRule>
  </conditionalFormatting>
  <conditionalFormatting sqref="G132">
    <cfRule type="cellIs" dxfId="519" priority="529" operator="equal">
      <formula>"N/A"</formula>
    </cfRule>
    <cfRule type="cellIs" dxfId="518" priority="530" stopIfTrue="1" operator="equal">
      <formula>"Failed"</formula>
    </cfRule>
    <cfRule type="cellIs" dxfId="517" priority="531" stopIfTrue="1" operator="equal">
      <formula>"In progress"</formula>
    </cfRule>
    <cfRule type="cellIs" dxfId="516" priority="532" stopIfTrue="1" operator="equal">
      <formula>"Passed"</formula>
    </cfRule>
  </conditionalFormatting>
  <conditionalFormatting sqref="G133">
    <cfRule type="cellIs" dxfId="515" priority="505" operator="equal">
      <formula>"N/A"</formula>
    </cfRule>
    <cfRule type="cellIs" dxfId="514" priority="506" stopIfTrue="1" operator="equal">
      <formula>"Failed"</formula>
    </cfRule>
    <cfRule type="cellIs" dxfId="513" priority="507" stopIfTrue="1" operator="equal">
      <formula>"In progress"</formula>
    </cfRule>
    <cfRule type="cellIs" dxfId="512" priority="508" stopIfTrue="1" operator="equal">
      <formula>"Passed"</formula>
    </cfRule>
  </conditionalFormatting>
  <conditionalFormatting sqref="G133:G137">
    <cfRule type="cellIs" dxfId="511" priority="501" operator="equal">
      <formula>"N/A"</formula>
    </cfRule>
    <cfRule type="cellIs" dxfId="510" priority="502" stopIfTrue="1" operator="equal">
      <formula>"Failed"</formula>
    </cfRule>
    <cfRule type="cellIs" dxfId="509" priority="503" stopIfTrue="1" operator="equal">
      <formula>"In progress"</formula>
    </cfRule>
    <cfRule type="cellIs" dxfId="508" priority="504" stopIfTrue="1" operator="equal">
      <formula>"Passed"</formula>
    </cfRule>
  </conditionalFormatting>
  <conditionalFormatting sqref="G10">
    <cfRule type="cellIs" dxfId="507" priority="445" operator="equal">
      <formula>"N/A"</formula>
    </cfRule>
    <cfRule type="cellIs" dxfId="506" priority="446" stopIfTrue="1" operator="equal">
      <formula>"Failed"</formula>
    </cfRule>
    <cfRule type="cellIs" dxfId="505" priority="447" stopIfTrue="1" operator="equal">
      <formula>"In progress"</formula>
    </cfRule>
    <cfRule type="cellIs" dxfId="504" priority="448" stopIfTrue="1" operator="equal">
      <formula>"Passed"</formula>
    </cfRule>
  </conditionalFormatting>
  <conditionalFormatting sqref="G83">
    <cfRule type="cellIs" dxfId="503" priority="425" operator="equal">
      <formula>"N/A"</formula>
    </cfRule>
    <cfRule type="cellIs" dxfId="502" priority="426" stopIfTrue="1" operator="equal">
      <formula>"Failed"</formula>
    </cfRule>
    <cfRule type="cellIs" dxfId="501" priority="427" stopIfTrue="1" operator="equal">
      <formula>"In progress"</formula>
    </cfRule>
    <cfRule type="cellIs" dxfId="500" priority="428" stopIfTrue="1" operator="equal">
      <formula>"Passed"</formula>
    </cfRule>
  </conditionalFormatting>
  <conditionalFormatting sqref="G24">
    <cfRule type="cellIs" dxfId="499" priority="405" operator="equal">
      <formula>"N/A"</formula>
    </cfRule>
    <cfRule type="cellIs" dxfId="498" priority="406" stopIfTrue="1" operator="equal">
      <formula>"Failed"</formula>
    </cfRule>
    <cfRule type="cellIs" dxfId="497" priority="407" stopIfTrue="1" operator="equal">
      <formula>"In progress"</formula>
    </cfRule>
    <cfRule type="cellIs" dxfId="496" priority="408" stopIfTrue="1" operator="equal">
      <formula>"Passed"</formula>
    </cfRule>
  </conditionalFormatting>
  <conditionalFormatting sqref="G25">
    <cfRule type="cellIs" dxfId="495" priority="401" operator="equal">
      <formula>"N/A"</formula>
    </cfRule>
    <cfRule type="cellIs" dxfId="494" priority="402" stopIfTrue="1" operator="equal">
      <formula>"Failed"</formula>
    </cfRule>
    <cfRule type="cellIs" dxfId="493" priority="403" stopIfTrue="1" operator="equal">
      <formula>"In progress"</formula>
    </cfRule>
    <cfRule type="cellIs" dxfId="492" priority="404" stopIfTrue="1" operator="equal">
      <formula>"Passed"</formula>
    </cfRule>
  </conditionalFormatting>
  <conditionalFormatting sqref="G26">
    <cfRule type="cellIs" dxfId="491" priority="389" operator="equal">
      <formula>"N/A"</formula>
    </cfRule>
    <cfRule type="cellIs" dxfId="490" priority="390" stopIfTrue="1" operator="equal">
      <formula>"Failed"</formula>
    </cfRule>
    <cfRule type="cellIs" dxfId="489" priority="391" stopIfTrue="1" operator="equal">
      <formula>"In progress"</formula>
    </cfRule>
    <cfRule type="cellIs" dxfId="488" priority="392" stopIfTrue="1" operator="equal">
      <formula>"Passed"</formula>
    </cfRule>
  </conditionalFormatting>
  <conditionalFormatting sqref="G27">
    <cfRule type="cellIs" dxfId="487" priority="385" operator="equal">
      <formula>"N/A"</formula>
    </cfRule>
    <cfRule type="cellIs" dxfId="486" priority="386" stopIfTrue="1" operator="equal">
      <formula>"Failed"</formula>
    </cfRule>
    <cfRule type="cellIs" dxfId="485" priority="387" stopIfTrue="1" operator="equal">
      <formula>"In progress"</formula>
    </cfRule>
    <cfRule type="cellIs" dxfId="484" priority="388" stopIfTrue="1" operator="equal">
      <formula>"Passed"</formula>
    </cfRule>
  </conditionalFormatting>
  <conditionalFormatting sqref="G28">
    <cfRule type="cellIs" dxfId="483" priority="381" operator="equal">
      <formula>"N/A"</formula>
    </cfRule>
    <cfRule type="cellIs" dxfId="482" priority="382" stopIfTrue="1" operator="equal">
      <formula>"Failed"</formula>
    </cfRule>
    <cfRule type="cellIs" dxfId="481" priority="383" stopIfTrue="1" operator="equal">
      <formula>"In progress"</formula>
    </cfRule>
    <cfRule type="cellIs" dxfId="480" priority="384" stopIfTrue="1" operator="equal">
      <formula>"Passed"</formula>
    </cfRule>
  </conditionalFormatting>
  <conditionalFormatting sqref="G29">
    <cfRule type="cellIs" dxfId="479" priority="377" operator="equal">
      <formula>"N/A"</formula>
    </cfRule>
    <cfRule type="cellIs" dxfId="478" priority="378" stopIfTrue="1" operator="equal">
      <formula>"Failed"</formula>
    </cfRule>
    <cfRule type="cellIs" dxfId="477" priority="379" stopIfTrue="1" operator="equal">
      <formula>"In progress"</formula>
    </cfRule>
    <cfRule type="cellIs" dxfId="476" priority="380" stopIfTrue="1" operator="equal">
      <formula>"Passed"</formula>
    </cfRule>
  </conditionalFormatting>
  <conditionalFormatting sqref="G30">
    <cfRule type="cellIs" dxfId="475" priority="373" operator="equal">
      <formula>"N/A"</formula>
    </cfRule>
    <cfRule type="cellIs" dxfId="474" priority="374" stopIfTrue="1" operator="equal">
      <formula>"Failed"</formula>
    </cfRule>
    <cfRule type="cellIs" dxfId="473" priority="375" stopIfTrue="1" operator="equal">
      <formula>"In progress"</formula>
    </cfRule>
    <cfRule type="cellIs" dxfId="472" priority="376" stopIfTrue="1" operator="equal">
      <formula>"Passed"</formula>
    </cfRule>
  </conditionalFormatting>
  <conditionalFormatting sqref="G31">
    <cfRule type="cellIs" dxfId="471" priority="369" operator="equal">
      <formula>"N/A"</formula>
    </cfRule>
    <cfRule type="cellIs" dxfId="470" priority="370" stopIfTrue="1" operator="equal">
      <formula>"Failed"</formula>
    </cfRule>
    <cfRule type="cellIs" dxfId="469" priority="371" stopIfTrue="1" operator="equal">
      <formula>"In progress"</formula>
    </cfRule>
    <cfRule type="cellIs" dxfId="468" priority="372" stopIfTrue="1" operator="equal">
      <formula>"Passed"</formula>
    </cfRule>
  </conditionalFormatting>
  <conditionalFormatting sqref="G32">
    <cfRule type="cellIs" dxfId="467" priority="365" operator="equal">
      <formula>"N/A"</formula>
    </cfRule>
    <cfRule type="cellIs" dxfId="466" priority="366" stopIfTrue="1" operator="equal">
      <formula>"Failed"</formula>
    </cfRule>
    <cfRule type="cellIs" dxfId="465" priority="367" stopIfTrue="1" operator="equal">
      <formula>"In progress"</formula>
    </cfRule>
    <cfRule type="cellIs" dxfId="464" priority="368" stopIfTrue="1" operator="equal">
      <formula>"Passed"</formula>
    </cfRule>
  </conditionalFormatting>
  <conditionalFormatting sqref="G33">
    <cfRule type="cellIs" dxfId="463" priority="361" operator="equal">
      <formula>"N/A"</formula>
    </cfRule>
    <cfRule type="cellIs" dxfId="462" priority="362" stopIfTrue="1" operator="equal">
      <formula>"Failed"</formula>
    </cfRule>
    <cfRule type="cellIs" dxfId="461" priority="363" stopIfTrue="1" operator="equal">
      <formula>"In progress"</formula>
    </cfRule>
    <cfRule type="cellIs" dxfId="460" priority="364" stopIfTrue="1" operator="equal">
      <formula>"Passed"</formula>
    </cfRule>
  </conditionalFormatting>
  <conditionalFormatting sqref="G34">
    <cfRule type="cellIs" dxfId="459" priority="357" operator="equal">
      <formula>"N/A"</formula>
    </cfRule>
    <cfRule type="cellIs" dxfId="458" priority="358" stopIfTrue="1" operator="equal">
      <formula>"Failed"</formula>
    </cfRule>
    <cfRule type="cellIs" dxfId="457" priority="359" stopIfTrue="1" operator="equal">
      <formula>"In progress"</formula>
    </cfRule>
    <cfRule type="cellIs" dxfId="456" priority="360" stopIfTrue="1" operator="equal">
      <formula>"Passed"</formula>
    </cfRule>
  </conditionalFormatting>
  <conditionalFormatting sqref="G35">
    <cfRule type="cellIs" dxfId="455" priority="353" operator="equal">
      <formula>"N/A"</formula>
    </cfRule>
    <cfRule type="cellIs" dxfId="454" priority="354" stopIfTrue="1" operator="equal">
      <formula>"Failed"</formula>
    </cfRule>
    <cfRule type="cellIs" dxfId="453" priority="355" stopIfTrue="1" operator="equal">
      <formula>"In progress"</formula>
    </cfRule>
    <cfRule type="cellIs" dxfId="452" priority="356" stopIfTrue="1" operator="equal">
      <formula>"Passed"</formula>
    </cfRule>
  </conditionalFormatting>
  <conditionalFormatting sqref="G36">
    <cfRule type="cellIs" dxfId="451" priority="349" operator="equal">
      <formula>"N/A"</formula>
    </cfRule>
    <cfRule type="cellIs" dxfId="450" priority="350" stopIfTrue="1" operator="equal">
      <formula>"Failed"</formula>
    </cfRule>
    <cfRule type="cellIs" dxfId="449" priority="351" stopIfTrue="1" operator="equal">
      <formula>"In progress"</formula>
    </cfRule>
    <cfRule type="cellIs" dxfId="448" priority="352" stopIfTrue="1" operator="equal">
      <formula>"Passed"</formula>
    </cfRule>
  </conditionalFormatting>
  <conditionalFormatting sqref="G37">
    <cfRule type="cellIs" dxfId="447" priority="345" operator="equal">
      <formula>"N/A"</formula>
    </cfRule>
    <cfRule type="cellIs" dxfId="446" priority="346" stopIfTrue="1" operator="equal">
      <formula>"Failed"</formula>
    </cfRule>
    <cfRule type="cellIs" dxfId="445" priority="347" stopIfTrue="1" operator="equal">
      <formula>"In progress"</formula>
    </cfRule>
    <cfRule type="cellIs" dxfId="444" priority="348" stopIfTrue="1" operator="equal">
      <formula>"Passed"</formula>
    </cfRule>
  </conditionalFormatting>
  <conditionalFormatting sqref="G49">
    <cfRule type="cellIs" dxfId="443" priority="337" operator="equal">
      <formula>"N/A"</formula>
    </cfRule>
    <cfRule type="cellIs" dxfId="442" priority="338" stopIfTrue="1" operator="equal">
      <formula>"Failed"</formula>
    </cfRule>
    <cfRule type="cellIs" dxfId="441" priority="339" stopIfTrue="1" operator="equal">
      <formula>"In progress"</formula>
    </cfRule>
    <cfRule type="cellIs" dxfId="440" priority="340" stopIfTrue="1" operator="equal">
      <formula>"Passed"</formula>
    </cfRule>
  </conditionalFormatting>
  <conditionalFormatting sqref="G50">
    <cfRule type="cellIs" dxfId="439" priority="329" operator="equal">
      <formula>"N/A"</formula>
    </cfRule>
    <cfRule type="cellIs" dxfId="438" priority="330" stopIfTrue="1" operator="equal">
      <formula>"Failed"</formula>
    </cfRule>
    <cfRule type="cellIs" dxfId="437" priority="331" stopIfTrue="1" operator="equal">
      <formula>"In progress"</formula>
    </cfRule>
    <cfRule type="cellIs" dxfId="436" priority="332" stopIfTrue="1" operator="equal">
      <formula>"Passed"</formula>
    </cfRule>
  </conditionalFormatting>
  <conditionalFormatting sqref="G38">
    <cfRule type="cellIs" dxfId="435" priority="321" operator="equal">
      <formula>"N/A"</formula>
    </cfRule>
    <cfRule type="cellIs" dxfId="434" priority="322" stopIfTrue="1" operator="equal">
      <formula>"Failed"</formula>
    </cfRule>
    <cfRule type="cellIs" dxfId="433" priority="323" stopIfTrue="1" operator="equal">
      <formula>"In progress"</formula>
    </cfRule>
    <cfRule type="cellIs" dxfId="432" priority="324" stopIfTrue="1" operator="equal">
      <formula>"Passed"</formula>
    </cfRule>
  </conditionalFormatting>
  <conditionalFormatting sqref="G39">
    <cfRule type="cellIs" dxfId="431" priority="317" operator="equal">
      <formula>"N/A"</formula>
    </cfRule>
    <cfRule type="cellIs" dxfId="430" priority="318" stopIfTrue="1" operator="equal">
      <formula>"Failed"</formula>
    </cfRule>
    <cfRule type="cellIs" dxfId="429" priority="319" stopIfTrue="1" operator="equal">
      <formula>"In progress"</formula>
    </cfRule>
    <cfRule type="cellIs" dxfId="428" priority="320" stopIfTrue="1" operator="equal">
      <formula>"Passed"</formula>
    </cfRule>
  </conditionalFormatting>
  <conditionalFormatting sqref="G40">
    <cfRule type="cellIs" dxfId="427" priority="313" operator="equal">
      <formula>"N/A"</formula>
    </cfRule>
    <cfRule type="cellIs" dxfId="426" priority="314" stopIfTrue="1" operator="equal">
      <formula>"Failed"</formula>
    </cfRule>
    <cfRule type="cellIs" dxfId="425" priority="315" stopIfTrue="1" operator="equal">
      <formula>"In progress"</formula>
    </cfRule>
    <cfRule type="cellIs" dxfId="424" priority="316" stopIfTrue="1" operator="equal">
      <formula>"Passed"</formula>
    </cfRule>
  </conditionalFormatting>
  <conditionalFormatting sqref="G51">
    <cfRule type="cellIs" dxfId="423" priority="305" operator="equal">
      <formula>"N/A"</formula>
    </cfRule>
    <cfRule type="cellIs" dxfId="422" priority="306" stopIfTrue="1" operator="equal">
      <formula>"Failed"</formula>
    </cfRule>
    <cfRule type="cellIs" dxfId="421" priority="307" stopIfTrue="1" operator="equal">
      <formula>"In progress"</formula>
    </cfRule>
    <cfRule type="cellIs" dxfId="420" priority="308" stopIfTrue="1" operator="equal">
      <formula>"Passed"</formula>
    </cfRule>
  </conditionalFormatting>
  <conditionalFormatting sqref="G41">
    <cfRule type="cellIs" dxfId="419" priority="301" operator="equal">
      <formula>"N/A"</formula>
    </cfRule>
    <cfRule type="cellIs" dxfId="418" priority="302" stopIfTrue="1" operator="equal">
      <formula>"Failed"</formula>
    </cfRule>
    <cfRule type="cellIs" dxfId="417" priority="303" stopIfTrue="1" operator="equal">
      <formula>"In progress"</formula>
    </cfRule>
    <cfRule type="cellIs" dxfId="416" priority="304" stopIfTrue="1" operator="equal">
      <formula>"Passed"</formula>
    </cfRule>
  </conditionalFormatting>
  <conditionalFormatting sqref="G42">
    <cfRule type="cellIs" dxfId="415" priority="297" operator="equal">
      <formula>"N/A"</formula>
    </cfRule>
    <cfRule type="cellIs" dxfId="414" priority="298" stopIfTrue="1" operator="equal">
      <formula>"Failed"</formula>
    </cfRule>
    <cfRule type="cellIs" dxfId="413" priority="299" stopIfTrue="1" operator="equal">
      <formula>"In progress"</formula>
    </cfRule>
    <cfRule type="cellIs" dxfId="412" priority="300" stopIfTrue="1" operator="equal">
      <formula>"Passed"</formula>
    </cfRule>
  </conditionalFormatting>
  <conditionalFormatting sqref="G43">
    <cfRule type="cellIs" dxfId="411" priority="293" operator="equal">
      <formula>"N/A"</formula>
    </cfRule>
    <cfRule type="cellIs" dxfId="410" priority="294" stopIfTrue="1" operator="equal">
      <formula>"Failed"</formula>
    </cfRule>
    <cfRule type="cellIs" dxfId="409" priority="295" stopIfTrue="1" operator="equal">
      <formula>"In progress"</formula>
    </cfRule>
    <cfRule type="cellIs" dxfId="408" priority="296" stopIfTrue="1" operator="equal">
      <formula>"Passed"</formula>
    </cfRule>
  </conditionalFormatting>
  <conditionalFormatting sqref="G44">
    <cfRule type="cellIs" dxfId="407" priority="289" operator="equal">
      <formula>"N/A"</formula>
    </cfRule>
    <cfRule type="cellIs" dxfId="406" priority="290" stopIfTrue="1" operator="equal">
      <formula>"Failed"</formula>
    </cfRule>
    <cfRule type="cellIs" dxfId="405" priority="291" stopIfTrue="1" operator="equal">
      <formula>"In progress"</formula>
    </cfRule>
    <cfRule type="cellIs" dxfId="404" priority="292" stopIfTrue="1" operator="equal">
      <formula>"Passed"</formula>
    </cfRule>
  </conditionalFormatting>
  <conditionalFormatting sqref="G45">
    <cfRule type="cellIs" dxfId="403" priority="285" operator="equal">
      <formula>"N/A"</formula>
    </cfRule>
    <cfRule type="cellIs" dxfId="402" priority="286" stopIfTrue="1" operator="equal">
      <formula>"Failed"</formula>
    </cfRule>
    <cfRule type="cellIs" dxfId="401" priority="287" stopIfTrue="1" operator="equal">
      <formula>"In progress"</formula>
    </cfRule>
    <cfRule type="cellIs" dxfId="400" priority="288" stopIfTrue="1" operator="equal">
      <formula>"Passed"</formula>
    </cfRule>
  </conditionalFormatting>
  <conditionalFormatting sqref="G46">
    <cfRule type="cellIs" dxfId="399" priority="281" operator="equal">
      <formula>"N/A"</formula>
    </cfRule>
    <cfRule type="cellIs" dxfId="398" priority="282" stopIfTrue="1" operator="equal">
      <formula>"Failed"</formula>
    </cfRule>
    <cfRule type="cellIs" dxfId="397" priority="283" stopIfTrue="1" operator="equal">
      <formula>"In progress"</formula>
    </cfRule>
    <cfRule type="cellIs" dxfId="396" priority="284" stopIfTrue="1" operator="equal">
      <formula>"Passed"</formula>
    </cfRule>
  </conditionalFormatting>
  <conditionalFormatting sqref="G48">
    <cfRule type="cellIs" dxfId="395" priority="277" operator="equal">
      <formula>"N/A"</formula>
    </cfRule>
    <cfRule type="cellIs" dxfId="394" priority="278" stopIfTrue="1" operator="equal">
      <formula>"Failed"</formula>
    </cfRule>
    <cfRule type="cellIs" dxfId="393" priority="279" stopIfTrue="1" operator="equal">
      <formula>"In progress"</formula>
    </cfRule>
    <cfRule type="cellIs" dxfId="392" priority="280" stopIfTrue="1" operator="equal">
      <formula>"Passed"</formula>
    </cfRule>
  </conditionalFormatting>
  <conditionalFormatting sqref="G53">
    <cfRule type="cellIs" dxfId="391" priority="273" operator="equal">
      <formula>"N/A"</formula>
    </cfRule>
    <cfRule type="cellIs" dxfId="390" priority="274" stopIfTrue="1" operator="equal">
      <formula>"Failed"</formula>
    </cfRule>
    <cfRule type="cellIs" dxfId="389" priority="275" stopIfTrue="1" operator="equal">
      <formula>"In progress"</formula>
    </cfRule>
    <cfRule type="cellIs" dxfId="388" priority="276" stopIfTrue="1" operator="equal">
      <formula>"Passed"</formula>
    </cfRule>
  </conditionalFormatting>
  <conditionalFormatting sqref="G22">
    <cfRule type="cellIs" dxfId="387" priority="269" operator="equal">
      <formula>"N/A"</formula>
    </cfRule>
    <cfRule type="cellIs" dxfId="386" priority="270" stopIfTrue="1" operator="equal">
      <formula>"Failed"</formula>
    </cfRule>
    <cfRule type="cellIs" dxfId="385" priority="271" stopIfTrue="1" operator="equal">
      <formula>"In progress"</formula>
    </cfRule>
    <cfRule type="cellIs" dxfId="384" priority="272" stopIfTrue="1" operator="equal">
      <formula>"Passed"</formula>
    </cfRule>
  </conditionalFormatting>
  <conditionalFormatting sqref="G21">
    <cfRule type="cellIs" dxfId="383" priority="265" operator="equal">
      <formula>"N/A"</formula>
    </cfRule>
    <cfRule type="cellIs" dxfId="382" priority="266" stopIfTrue="1" operator="equal">
      <formula>"Failed"</formula>
    </cfRule>
    <cfRule type="cellIs" dxfId="381" priority="267" stopIfTrue="1" operator="equal">
      <formula>"In progress"</formula>
    </cfRule>
    <cfRule type="cellIs" dxfId="380" priority="268" stopIfTrue="1" operator="equal">
      <formula>"Passed"</formula>
    </cfRule>
  </conditionalFormatting>
  <conditionalFormatting sqref="G20">
    <cfRule type="cellIs" dxfId="379" priority="261" operator="equal">
      <formula>"N/A"</formula>
    </cfRule>
    <cfRule type="cellIs" dxfId="378" priority="262" stopIfTrue="1" operator="equal">
      <formula>"Failed"</formula>
    </cfRule>
    <cfRule type="cellIs" dxfId="377" priority="263" stopIfTrue="1" operator="equal">
      <formula>"In progress"</formula>
    </cfRule>
    <cfRule type="cellIs" dxfId="376" priority="264" stopIfTrue="1" operator="equal">
      <formula>"Passed"</formula>
    </cfRule>
  </conditionalFormatting>
  <conditionalFormatting sqref="G19">
    <cfRule type="cellIs" dxfId="375" priority="257" operator="equal">
      <formula>"N/A"</formula>
    </cfRule>
    <cfRule type="cellIs" dxfId="374" priority="258" stopIfTrue="1" operator="equal">
      <formula>"Failed"</formula>
    </cfRule>
    <cfRule type="cellIs" dxfId="373" priority="259" stopIfTrue="1" operator="equal">
      <formula>"In progress"</formula>
    </cfRule>
    <cfRule type="cellIs" dxfId="372" priority="260" stopIfTrue="1" operator="equal">
      <formula>"Passed"</formula>
    </cfRule>
  </conditionalFormatting>
  <conditionalFormatting sqref="G18">
    <cfRule type="cellIs" dxfId="371" priority="253" operator="equal">
      <formula>"N/A"</formula>
    </cfRule>
    <cfRule type="cellIs" dxfId="370" priority="254" stopIfTrue="1" operator="equal">
      <formula>"Failed"</formula>
    </cfRule>
    <cfRule type="cellIs" dxfId="369" priority="255" stopIfTrue="1" operator="equal">
      <formula>"In progress"</formula>
    </cfRule>
    <cfRule type="cellIs" dxfId="368" priority="256" stopIfTrue="1" operator="equal">
      <formula>"Passed"</formula>
    </cfRule>
  </conditionalFormatting>
  <conditionalFormatting sqref="G17">
    <cfRule type="cellIs" dxfId="367" priority="249" operator="equal">
      <formula>"N/A"</formula>
    </cfRule>
    <cfRule type="cellIs" dxfId="366" priority="250" stopIfTrue="1" operator="equal">
      <formula>"Failed"</formula>
    </cfRule>
    <cfRule type="cellIs" dxfId="365" priority="251" stopIfTrue="1" operator="equal">
      <formula>"In progress"</formula>
    </cfRule>
    <cfRule type="cellIs" dxfId="364" priority="252" stopIfTrue="1" operator="equal">
      <formula>"Passed"</formula>
    </cfRule>
  </conditionalFormatting>
  <conditionalFormatting sqref="G16">
    <cfRule type="cellIs" dxfId="363" priority="245" operator="equal">
      <formula>"N/A"</formula>
    </cfRule>
    <cfRule type="cellIs" dxfId="362" priority="246" stopIfTrue="1" operator="equal">
      <formula>"Failed"</formula>
    </cfRule>
    <cfRule type="cellIs" dxfId="361" priority="247" stopIfTrue="1" operator="equal">
      <formula>"In progress"</formula>
    </cfRule>
    <cfRule type="cellIs" dxfId="360" priority="248" stopIfTrue="1" operator="equal">
      <formula>"Passed"</formula>
    </cfRule>
  </conditionalFormatting>
  <conditionalFormatting sqref="G14">
    <cfRule type="cellIs" dxfId="359" priority="241" operator="equal">
      <formula>"N/A"</formula>
    </cfRule>
    <cfRule type="cellIs" dxfId="358" priority="242" stopIfTrue="1" operator="equal">
      <formula>"Failed"</formula>
    </cfRule>
    <cfRule type="cellIs" dxfId="357" priority="243" stopIfTrue="1" operator="equal">
      <formula>"In progress"</formula>
    </cfRule>
    <cfRule type="cellIs" dxfId="356" priority="244" stopIfTrue="1" operator="equal">
      <formula>"Passed"</formula>
    </cfRule>
  </conditionalFormatting>
  <conditionalFormatting sqref="G13">
    <cfRule type="cellIs" dxfId="355" priority="237" operator="equal">
      <formula>"N/A"</formula>
    </cfRule>
    <cfRule type="cellIs" dxfId="354" priority="238" stopIfTrue="1" operator="equal">
      <formula>"Failed"</formula>
    </cfRule>
    <cfRule type="cellIs" dxfId="353" priority="239" stopIfTrue="1" operator="equal">
      <formula>"In progress"</formula>
    </cfRule>
    <cfRule type="cellIs" dxfId="352" priority="240" stopIfTrue="1" operator="equal">
      <formula>"Passed"</formula>
    </cfRule>
  </conditionalFormatting>
  <conditionalFormatting sqref="G12">
    <cfRule type="cellIs" dxfId="351" priority="233" operator="equal">
      <formula>"N/A"</formula>
    </cfRule>
    <cfRule type="cellIs" dxfId="350" priority="234" stopIfTrue="1" operator="equal">
      <formula>"Failed"</formula>
    </cfRule>
    <cfRule type="cellIs" dxfId="349" priority="235" stopIfTrue="1" operator="equal">
      <formula>"In progress"</formula>
    </cfRule>
    <cfRule type="cellIs" dxfId="348" priority="236" stopIfTrue="1" operator="equal">
      <formula>"Passed"</formula>
    </cfRule>
  </conditionalFormatting>
  <conditionalFormatting sqref="G11">
    <cfRule type="cellIs" dxfId="347" priority="229" operator="equal">
      <formula>"N/A"</formula>
    </cfRule>
    <cfRule type="cellIs" dxfId="346" priority="230" stopIfTrue="1" operator="equal">
      <formula>"Failed"</formula>
    </cfRule>
    <cfRule type="cellIs" dxfId="345" priority="231" stopIfTrue="1" operator="equal">
      <formula>"In progress"</formula>
    </cfRule>
    <cfRule type="cellIs" dxfId="344" priority="232" stopIfTrue="1" operator="equal">
      <formula>"Passed"</formula>
    </cfRule>
  </conditionalFormatting>
  <conditionalFormatting sqref="G8">
    <cfRule type="cellIs" dxfId="343" priority="225" operator="equal">
      <formula>"N/A"</formula>
    </cfRule>
    <cfRule type="cellIs" dxfId="342" priority="226" stopIfTrue="1" operator="equal">
      <formula>"Failed"</formula>
    </cfRule>
    <cfRule type="cellIs" dxfId="341" priority="227" stopIfTrue="1" operator="equal">
      <formula>"In progress"</formula>
    </cfRule>
    <cfRule type="cellIs" dxfId="340" priority="228" stopIfTrue="1" operator="equal">
      <formula>"Passed"</formula>
    </cfRule>
  </conditionalFormatting>
  <conditionalFormatting sqref="G47">
    <cfRule type="cellIs" dxfId="339" priority="221" operator="equal">
      <formula>"N/A"</formula>
    </cfRule>
    <cfRule type="cellIs" dxfId="338" priority="222" stopIfTrue="1" operator="equal">
      <formula>"Failed"</formula>
    </cfRule>
    <cfRule type="cellIs" dxfId="337" priority="223" stopIfTrue="1" operator="equal">
      <formula>"In progress"</formula>
    </cfRule>
    <cfRule type="cellIs" dxfId="336" priority="224" stopIfTrue="1" operator="equal">
      <formula>"Passed"</formula>
    </cfRule>
  </conditionalFormatting>
  <conditionalFormatting sqref="G59">
    <cfRule type="cellIs" dxfId="335" priority="217" operator="equal">
      <formula>"N/A"</formula>
    </cfRule>
    <cfRule type="cellIs" dxfId="334" priority="218" stopIfTrue="1" operator="equal">
      <formula>"Failed"</formula>
    </cfRule>
    <cfRule type="cellIs" dxfId="333" priority="219" stopIfTrue="1" operator="equal">
      <formula>"In progress"</formula>
    </cfRule>
    <cfRule type="cellIs" dxfId="332" priority="220" stopIfTrue="1" operator="equal">
      <formula>"Passed"</formula>
    </cfRule>
  </conditionalFormatting>
  <conditionalFormatting sqref="G58">
    <cfRule type="cellIs" dxfId="331" priority="213" operator="equal">
      <formula>"N/A"</formula>
    </cfRule>
    <cfRule type="cellIs" dxfId="330" priority="214" stopIfTrue="1" operator="equal">
      <formula>"Failed"</formula>
    </cfRule>
    <cfRule type="cellIs" dxfId="329" priority="215" stopIfTrue="1" operator="equal">
      <formula>"In progress"</formula>
    </cfRule>
    <cfRule type="cellIs" dxfId="328" priority="216" stopIfTrue="1" operator="equal">
      <formula>"Passed"</formula>
    </cfRule>
  </conditionalFormatting>
  <conditionalFormatting sqref="G60">
    <cfRule type="cellIs" dxfId="327" priority="209" operator="equal">
      <formula>"N/A"</formula>
    </cfRule>
    <cfRule type="cellIs" dxfId="326" priority="210" stopIfTrue="1" operator="equal">
      <formula>"Failed"</formula>
    </cfRule>
    <cfRule type="cellIs" dxfId="325" priority="211" stopIfTrue="1" operator="equal">
      <formula>"In progress"</formula>
    </cfRule>
    <cfRule type="cellIs" dxfId="324" priority="212" stopIfTrue="1" operator="equal">
      <formula>"Passed"</formula>
    </cfRule>
  </conditionalFormatting>
  <conditionalFormatting sqref="G61">
    <cfRule type="cellIs" dxfId="323" priority="205" operator="equal">
      <formula>"N/A"</formula>
    </cfRule>
    <cfRule type="cellIs" dxfId="322" priority="206" stopIfTrue="1" operator="equal">
      <formula>"Failed"</formula>
    </cfRule>
    <cfRule type="cellIs" dxfId="321" priority="207" stopIfTrue="1" operator="equal">
      <formula>"In progress"</formula>
    </cfRule>
    <cfRule type="cellIs" dxfId="320" priority="208" stopIfTrue="1" operator="equal">
      <formula>"Passed"</formula>
    </cfRule>
  </conditionalFormatting>
  <conditionalFormatting sqref="G62">
    <cfRule type="cellIs" dxfId="319" priority="201" operator="equal">
      <formula>"N/A"</formula>
    </cfRule>
    <cfRule type="cellIs" dxfId="318" priority="202" stopIfTrue="1" operator="equal">
      <formula>"Failed"</formula>
    </cfRule>
    <cfRule type="cellIs" dxfId="317" priority="203" stopIfTrue="1" operator="equal">
      <formula>"In progress"</formula>
    </cfRule>
    <cfRule type="cellIs" dxfId="316" priority="204" stopIfTrue="1" operator="equal">
      <formula>"Passed"</formula>
    </cfRule>
  </conditionalFormatting>
  <conditionalFormatting sqref="G63">
    <cfRule type="cellIs" dxfId="315" priority="197" operator="equal">
      <formula>"N/A"</formula>
    </cfRule>
    <cfRule type="cellIs" dxfId="314" priority="198" stopIfTrue="1" operator="equal">
      <formula>"Failed"</formula>
    </cfRule>
    <cfRule type="cellIs" dxfId="313" priority="199" stopIfTrue="1" operator="equal">
      <formula>"In progress"</formula>
    </cfRule>
    <cfRule type="cellIs" dxfId="312" priority="200" stopIfTrue="1" operator="equal">
      <formula>"Passed"</formula>
    </cfRule>
  </conditionalFormatting>
  <conditionalFormatting sqref="G65">
    <cfRule type="cellIs" dxfId="311" priority="193" operator="equal">
      <formula>"N/A"</formula>
    </cfRule>
    <cfRule type="cellIs" dxfId="310" priority="194" stopIfTrue="1" operator="equal">
      <formula>"Failed"</formula>
    </cfRule>
    <cfRule type="cellIs" dxfId="309" priority="195" stopIfTrue="1" operator="equal">
      <formula>"In progress"</formula>
    </cfRule>
    <cfRule type="cellIs" dxfId="308" priority="196" stopIfTrue="1" operator="equal">
      <formula>"Passed"</formula>
    </cfRule>
  </conditionalFormatting>
  <conditionalFormatting sqref="G69">
    <cfRule type="cellIs" dxfId="307" priority="189" operator="equal">
      <formula>"N/A"</formula>
    </cfRule>
    <cfRule type="cellIs" dxfId="306" priority="190" stopIfTrue="1" operator="equal">
      <formula>"Failed"</formula>
    </cfRule>
    <cfRule type="cellIs" dxfId="305" priority="191" stopIfTrue="1" operator="equal">
      <formula>"In progress"</formula>
    </cfRule>
    <cfRule type="cellIs" dxfId="304" priority="192" stopIfTrue="1" operator="equal">
      <formula>"Passed"</formula>
    </cfRule>
  </conditionalFormatting>
  <conditionalFormatting sqref="G70">
    <cfRule type="cellIs" dxfId="303" priority="185" operator="equal">
      <formula>"N/A"</formula>
    </cfRule>
    <cfRule type="cellIs" dxfId="302" priority="186" stopIfTrue="1" operator="equal">
      <formula>"Failed"</formula>
    </cfRule>
    <cfRule type="cellIs" dxfId="301" priority="187" stopIfTrue="1" operator="equal">
      <formula>"In progress"</formula>
    </cfRule>
    <cfRule type="cellIs" dxfId="300" priority="188" stopIfTrue="1" operator="equal">
      <formula>"Passed"</formula>
    </cfRule>
  </conditionalFormatting>
  <conditionalFormatting sqref="G71">
    <cfRule type="cellIs" dxfId="299" priority="181" operator="equal">
      <formula>"N/A"</formula>
    </cfRule>
    <cfRule type="cellIs" dxfId="298" priority="182" stopIfTrue="1" operator="equal">
      <formula>"Failed"</formula>
    </cfRule>
    <cfRule type="cellIs" dxfId="297" priority="183" stopIfTrue="1" operator="equal">
      <formula>"In progress"</formula>
    </cfRule>
    <cfRule type="cellIs" dxfId="296" priority="184" stopIfTrue="1" operator="equal">
      <formula>"Passed"</formula>
    </cfRule>
  </conditionalFormatting>
  <conditionalFormatting sqref="G75">
    <cfRule type="cellIs" dxfId="295" priority="177" operator="equal">
      <formula>"N/A"</formula>
    </cfRule>
    <cfRule type="cellIs" dxfId="294" priority="178" stopIfTrue="1" operator="equal">
      <formula>"Failed"</formula>
    </cfRule>
    <cfRule type="cellIs" dxfId="293" priority="179" stopIfTrue="1" operator="equal">
      <formula>"In progress"</formula>
    </cfRule>
    <cfRule type="cellIs" dxfId="292" priority="180" stopIfTrue="1" operator="equal">
      <formula>"Passed"</formula>
    </cfRule>
  </conditionalFormatting>
  <conditionalFormatting sqref="G76">
    <cfRule type="cellIs" dxfId="291" priority="173" operator="equal">
      <formula>"N/A"</formula>
    </cfRule>
    <cfRule type="cellIs" dxfId="290" priority="174" stopIfTrue="1" operator="equal">
      <formula>"Failed"</formula>
    </cfRule>
    <cfRule type="cellIs" dxfId="289" priority="175" stopIfTrue="1" operator="equal">
      <formula>"In progress"</formula>
    </cfRule>
    <cfRule type="cellIs" dxfId="288" priority="176" stopIfTrue="1" operator="equal">
      <formula>"Passed"</formula>
    </cfRule>
  </conditionalFormatting>
  <conditionalFormatting sqref="G79">
    <cfRule type="cellIs" dxfId="287" priority="169" operator="equal">
      <formula>"N/A"</formula>
    </cfRule>
    <cfRule type="cellIs" dxfId="286" priority="170" stopIfTrue="1" operator="equal">
      <formula>"Failed"</formula>
    </cfRule>
    <cfRule type="cellIs" dxfId="285" priority="171" stopIfTrue="1" operator="equal">
      <formula>"In progress"</formula>
    </cfRule>
    <cfRule type="cellIs" dxfId="284" priority="172" stopIfTrue="1" operator="equal">
      <formula>"Passed"</formula>
    </cfRule>
  </conditionalFormatting>
  <conditionalFormatting sqref="G80">
    <cfRule type="cellIs" dxfId="283" priority="165" operator="equal">
      <formula>"N/A"</formula>
    </cfRule>
    <cfRule type="cellIs" dxfId="282" priority="166" stopIfTrue="1" operator="equal">
      <formula>"Failed"</formula>
    </cfRule>
    <cfRule type="cellIs" dxfId="281" priority="167" stopIfTrue="1" operator="equal">
      <formula>"In progress"</formula>
    </cfRule>
    <cfRule type="cellIs" dxfId="280" priority="168" stopIfTrue="1" operator="equal">
      <formula>"Passed"</formula>
    </cfRule>
  </conditionalFormatting>
  <conditionalFormatting sqref="G82">
    <cfRule type="cellIs" dxfId="279" priority="161" operator="equal">
      <formula>"N/A"</formula>
    </cfRule>
    <cfRule type="cellIs" dxfId="278" priority="162" stopIfTrue="1" operator="equal">
      <formula>"Failed"</formula>
    </cfRule>
    <cfRule type="cellIs" dxfId="277" priority="163" stopIfTrue="1" operator="equal">
      <formula>"In progress"</formula>
    </cfRule>
    <cfRule type="cellIs" dxfId="276" priority="164" stopIfTrue="1" operator="equal">
      <formula>"Passed"</formula>
    </cfRule>
  </conditionalFormatting>
  <conditionalFormatting sqref="G84">
    <cfRule type="cellIs" dxfId="275" priority="157" operator="equal">
      <formula>"N/A"</formula>
    </cfRule>
    <cfRule type="cellIs" dxfId="274" priority="158" stopIfTrue="1" operator="equal">
      <formula>"Failed"</formula>
    </cfRule>
    <cfRule type="cellIs" dxfId="273" priority="159" stopIfTrue="1" operator="equal">
      <formula>"In progress"</formula>
    </cfRule>
    <cfRule type="cellIs" dxfId="272" priority="160" stopIfTrue="1" operator="equal">
      <formula>"Passed"</formula>
    </cfRule>
  </conditionalFormatting>
  <conditionalFormatting sqref="G85">
    <cfRule type="cellIs" dxfId="271" priority="153" operator="equal">
      <formula>"N/A"</formula>
    </cfRule>
    <cfRule type="cellIs" dxfId="270" priority="154" stopIfTrue="1" operator="equal">
      <formula>"Failed"</formula>
    </cfRule>
    <cfRule type="cellIs" dxfId="269" priority="155" stopIfTrue="1" operator="equal">
      <formula>"In progress"</formula>
    </cfRule>
    <cfRule type="cellIs" dxfId="268" priority="156" stopIfTrue="1" operator="equal">
      <formula>"Passed"</formula>
    </cfRule>
  </conditionalFormatting>
  <conditionalFormatting sqref="G86">
    <cfRule type="cellIs" dxfId="267" priority="149" operator="equal">
      <formula>"N/A"</formula>
    </cfRule>
    <cfRule type="cellIs" dxfId="266" priority="150" stopIfTrue="1" operator="equal">
      <formula>"Failed"</formula>
    </cfRule>
    <cfRule type="cellIs" dxfId="265" priority="151" stopIfTrue="1" operator="equal">
      <formula>"In progress"</formula>
    </cfRule>
    <cfRule type="cellIs" dxfId="264" priority="152" stopIfTrue="1" operator="equal">
      <formula>"Passed"</formula>
    </cfRule>
  </conditionalFormatting>
  <conditionalFormatting sqref="G87">
    <cfRule type="cellIs" dxfId="263" priority="145" operator="equal">
      <formula>"N/A"</formula>
    </cfRule>
    <cfRule type="cellIs" dxfId="262" priority="146" stopIfTrue="1" operator="equal">
      <formula>"Failed"</formula>
    </cfRule>
    <cfRule type="cellIs" dxfId="261" priority="147" stopIfTrue="1" operator="equal">
      <formula>"In progress"</formula>
    </cfRule>
    <cfRule type="cellIs" dxfId="260" priority="148" stopIfTrue="1" operator="equal">
      <formula>"Passed"</formula>
    </cfRule>
  </conditionalFormatting>
  <conditionalFormatting sqref="G88">
    <cfRule type="cellIs" dxfId="259" priority="141" operator="equal">
      <formula>"N/A"</formula>
    </cfRule>
    <cfRule type="cellIs" dxfId="258" priority="142" stopIfTrue="1" operator="equal">
      <formula>"Failed"</formula>
    </cfRule>
    <cfRule type="cellIs" dxfId="257" priority="143" stopIfTrue="1" operator="equal">
      <formula>"In progress"</formula>
    </cfRule>
    <cfRule type="cellIs" dxfId="256" priority="144" stopIfTrue="1" operator="equal">
      <formula>"Passed"</formula>
    </cfRule>
  </conditionalFormatting>
  <conditionalFormatting sqref="G89">
    <cfRule type="cellIs" dxfId="255" priority="137" operator="equal">
      <formula>"N/A"</formula>
    </cfRule>
    <cfRule type="cellIs" dxfId="254" priority="138" stopIfTrue="1" operator="equal">
      <formula>"Failed"</formula>
    </cfRule>
    <cfRule type="cellIs" dxfId="253" priority="139" stopIfTrue="1" operator="equal">
      <formula>"In progress"</formula>
    </cfRule>
    <cfRule type="cellIs" dxfId="252" priority="140" stopIfTrue="1" operator="equal">
      <formula>"Passed"</formula>
    </cfRule>
  </conditionalFormatting>
  <conditionalFormatting sqref="G90">
    <cfRule type="cellIs" dxfId="251" priority="133" operator="equal">
      <formula>"N/A"</formula>
    </cfRule>
    <cfRule type="cellIs" dxfId="250" priority="134" stopIfTrue="1" operator="equal">
      <formula>"Failed"</formula>
    </cfRule>
    <cfRule type="cellIs" dxfId="249" priority="135" stopIfTrue="1" operator="equal">
      <formula>"In progress"</formula>
    </cfRule>
    <cfRule type="cellIs" dxfId="248" priority="136" stopIfTrue="1" operator="equal">
      <formula>"Passed"</formula>
    </cfRule>
  </conditionalFormatting>
  <conditionalFormatting sqref="G91">
    <cfRule type="cellIs" dxfId="247" priority="129" operator="equal">
      <formula>"N/A"</formula>
    </cfRule>
    <cfRule type="cellIs" dxfId="246" priority="130" stopIfTrue="1" operator="equal">
      <formula>"Failed"</formula>
    </cfRule>
    <cfRule type="cellIs" dxfId="245" priority="131" stopIfTrue="1" operator="equal">
      <formula>"In progress"</formula>
    </cfRule>
    <cfRule type="cellIs" dxfId="244" priority="132" stopIfTrue="1" operator="equal">
      <formula>"Passed"</formula>
    </cfRule>
  </conditionalFormatting>
  <conditionalFormatting sqref="G94">
    <cfRule type="cellIs" dxfId="243" priority="125" operator="equal">
      <formula>"N/A"</formula>
    </cfRule>
    <cfRule type="cellIs" dxfId="242" priority="126" stopIfTrue="1" operator="equal">
      <formula>"Failed"</formula>
    </cfRule>
    <cfRule type="cellIs" dxfId="241" priority="127" stopIfTrue="1" operator="equal">
      <formula>"In progress"</formula>
    </cfRule>
    <cfRule type="cellIs" dxfId="240" priority="128" stopIfTrue="1" operator="equal">
      <formula>"Passed"</formula>
    </cfRule>
  </conditionalFormatting>
  <conditionalFormatting sqref="G95">
    <cfRule type="cellIs" dxfId="239" priority="121" operator="equal">
      <formula>"N/A"</formula>
    </cfRule>
    <cfRule type="cellIs" dxfId="238" priority="122" stopIfTrue="1" operator="equal">
      <formula>"Failed"</formula>
    </cfRule>
    <cfRule type="cellIs" dxfId="237" priority="123" stopIfTrue="1" operator="equal">
      <formula>"In progress"</formula>
    </cfRule>
    <cfRule type="cellIs" dxfId="236" priority="124" stopIfTrue="1" operator="equal">
      <formula>"Passed"</formula>
    </cfRule>
  </conditionalFormatting>
  <conditionalFormatting sqref="G96">
    <cfRule type="cellIs" dxfId="235" priority="117" operator="equal">
      <formula>"N/A"</formula>
    </cfRule>
    <cfRule type="cellIs" dxfId="234" priority="118" stopIfTrue="1" operator="equal">
      <formula>"Failed"</formula>
    </cfRule>
    <cfRule type="cellIs" dxfId="233" priority="119" stopIfTrue="1" operator="equal">
      <formula>"In progress"</formula>
    </cfRule>
    <cfRule type="cellIs" dxfId="232" priority="120" stopIfTrue="1" operator="equal">
      <formula>"Passed"</formula>
    </cfRule>
  </conditionalFormatting>
  <conditionalFormatting sqref="G103">
    <cfRule type="cellIs" dxfId="231" priority="113" operator="equal">
      <formula>"N/A"</formula>
    </cfRule>
    <cfRule type="cellIs" dxfId="230" priority="114" stopIfTrue="1" operator="equal">
      <formula>"Failed"</formula>
    </cfRule>
    <cfRule type="cellIs" dxfId="229" priority="115" stopIfTrue="1" operator="equal">
      <formula>"In progress"</formula>
    </cfRule>
    <cfRule type="cellIs" dxfId="228" priority="116" stopIfTrue="1" operator="equal">
      <formula>"Passed"</formula>
    </cfRule>
  </conditionalFormatting>
  <conditionalFormatting sqref="G104">
    <cfRule type="cellIs" dxfId="227" priority="109" operator="equal">
      <formula>"N/A"</formula>
    </cfRule>
    <cfRule type="cellIs" dxfId="226" priority="110" stopIfTrue="1" operator="equal">
      <formula>"Failed"</formula>
    </cfRule>
    <cfRule type="cellIs" dxfId="225" priority="111" stopIfTrue="1" operator="equal">
      <formula>"In progress"</formula>
    </cfRule>
    <cfRule type="cellIs" dxfId="224" priority="112" stopIfTrue="1" operator="equal">
      <formula>"Passed"</formula>
    </cfRule>
  </conditionalFormatting>
  <conditionalFormatting sqref="G56">
    <cfRule type="cellIs" dxfId="223" priority="105" operator="equal">
      <formula>"N/A"</formula>
    </cfRule>
    <cfRule type="cellIs" dxfId="222" priority="106" stopIfTrue="1" operator="equal">
      <formula>"Failed"</formula>
    </cfRule>
    <cfRule type="cellIs" dxfId="221" priority="107" stopIfTrue="1" operator="equal">
      <formula>"In progress"</formula>
    </cfRule>
    <cfRule type="cellIs" dxfId="220" priority="108" stopIfTrue="1" operator="equal">
      <formula>"Passed"</formula>
    </cfRule>
  </conditionalFormatting>
  <conditionalFormatting sqref="G55">
    <cfRule type="cellIs" dxfId="219" priority="101" operator="equal">
      <formula>"N/A"</formula>
    </cfRule>
    <cfRule type="cellIs" dxfId="218" priority="102" stopIfTrue="1" operator="equal">
      <formula>"Failed"</formula>
    </cfRule>
    <cfRule type="cellIs" dxfId="217" priority="103" stopIfTrue="1" operator="equal">
      <formula>"In progress"</formula>
    </cfRule>
    <cfRule type="cellIs" dxfId="216" priority="104" stopIfTrue="1" operator="equal">
      <formula>"Passed"</formula>
    </cfRule>
  </conditionalFormatting>
  <conditionalFormatting sqref="G57">
    <cfRule type="cellIs" dxfId="215" priority="97" operator="equal">
      <formula>"N/A"</formula>
    </cfRule>
    <cfRule type="cellIs" dxfId="214" priority="98" stopIfTrue="1" operator="equal">
      <formula>"Failed"</formula>
    </cfRule>
    <cfRule type="cellIs" dxfId="213" priority="99" stopIfTrue="1" operator="equal">
      <formula>"In progress"</formula>
    </cfRule>
    <cfRule type="cellIs" dxfId="212" priority="100" stopIfTrue="1" operator="equal">
      <formula>"Passed"</formula>
    </cfRule>
  </conditionalFormatting>
  <conditionalFormatting sqref="G52">
    <cfRule type="cellIs" dxfId="211" priority="93" operator="equal">
      <formula>"N/A"</formula>
    </cfRule>
    <cfRule type="cellIs" dxfId="210" priority="94" stopIfTrue="1" operator="equal">
      <formula>"Failed"</formula>
    </cfRule>
    <cfRule type="cellIs" dxfId="209" priority="95" stopIfTrue="1" operator="equal">
      <formula>"In progress"</formula>
    </cfRule>
    <cfRule type="cellIs" dxfId="208" priority="96" stopIfTrue="1" operator="equal">
      <formula>"Passed"</formula>
    </cfRule>
  </conditionalFormatting>
  <conditionalFormatting sqref="G107">
    <cfRule type="cellIs" dxfId="207" priority="89" operator="equal">
      <formula>"N/A"</formula>
    </cfRule>
    <cfRule type="cellIs" dxfId="206" priority="90" stopIfTrue="1" operator="equal">
      <formula>"Failed"</formula>
    </cfRule>
    <cfRule type="cellIs" dxfId="205" priority="91" stopIfTrue="1" operator="equal">
      <formula>"In progress"</formula>
    </cfRule>
    <cfRule type="cellIs" dxfId="204" priority="92" stopIfTrue="1" operator="equal">
      <formula>"Passed"</formula>
    </cfRule>
  </conditionalFormatting>
  <conditionalFormatting sqref="G106">
    <cfRule type="cellIs" dxfId="203" priority="85" operator="equal">
      <formula>"N/A"</formula>
    </cfRule>
    <cfRule type="cellIs" dxfId="202" priority="86" stopIfTrue="1" operator="equal">
      <formula>"Failed"</formula>
    </cfRule>
    <cfRule type="cellIs" dxfId="201" priority="87" stopIfTrue="1" operator="equal">
      <formula>"In progress"</formula>
    </cfRule>
    <cfRule type="cellIs" dxfId="200" priority="88" stopIfTrue="1" operator="equal">
      <formula>"Passed"</formula>
    </cfRule>
  </conditionalFormatting>
  <conditionalFormatting sqref="G112">
    <cfRule type="cellIs" dxfId="199" priority="81" operator="equal">
      <formula>"N/A"</formula>
    </cfRule>
    <cfRule type="cellIs" dxfId="198" priority="82" stopIfTrue="1" operator="equal">
      <formula>"Failed"</formula>
    </cfRule>
    <cfRule type="cellIs" dxfId="197" priority="83" stopIfTrue="1" operator="equal">
      <formula>"In progress"</formula>
    </cfRule>
    <cfRule type="cellIs" dxfId="196" priority="84" stopIfTrue="1" operator="equal">
      <formula>"Passed"</formula>
    </cfRule>
  </conditionalFormatting>
  <conditionalFormatting sqref="G110">
    <cfRule type="cellIs" dxfId="195" priority="77" operator="equal">
      <formula>"N/A"</formula>
    </cfRule>
    <cfRule type="cellIs" dxfId="194" priority="78" stopIfTrue="1" operator="equal">
      <formula>"Failed"</formula>
    </cfRule>
    <cfRule type="cellIs" dxfId="193" priority="79" stopIfTrue="1" operator="equal">
      <formula>"In progress"</formula>
    </cfRule>
    <cfRule type="cellIs" dxfId="192" priority="80" stopIfTrue="1" operator="equal">
      <formula>"Passed"</formula>
    </cfRule>
  </conditionalFormatting>
  <conditionalFormatting sqref="G111">
    <cfRule type="cellIs" dxfId="191" priority="73" operator="equal">
      <formula>"N/A"</formula>
    </cfRule>
    <cfRule type="cellIs" dxfId="190" priority="74" stopIfTrue="1" operator="equal">
      <formula>"Failed"</formula>
    </cfRule>
    <cfRule type="cellIs" dxfId="189" priority="75" stopIfTrue="1" operator="equal">
      <formula>"In progress"</formula>
    </cfRule>
    <cfRule type="cellIs" dxfId="188" priority="76" stopIfTrue="1" operator="equal">
      <formula>"Passed"</formula>
    </cfRule>
  </conditionalFormatting>
  <conditionalFormatting sqref="G113">
    <cfRule type="cellIs" dxfId="187" priority="69" operator="equal">
      <formula>"N/A"</formula>
    </cfRule>
    <cfRule type="cellIs" dxfId="186" priority="70" stopIfTrue="1" operator="equal">
      <formula>"Failed"</formula>
    </cfRule>
    <cfRule type="cellIs" dxfId="185" priority="71" stopIfTrue="1" operator="equal">
      <formula>"In progress"</formula>
    </cfRule>
    <cfRule type="cellIs" dxfId="184" priority="72" stopIfTrue="1" operator="equal">
      <formula>"Passed"</formula>
    </cfRule>
  </conditionalFormatting>
  <conditionalFormatting sqref="G114">
    <cfRule type="cellIs" dxfId="183" priority="65" operator="equal">
      <formula>"N/A"</formula>
    </cfRule>
    <cfRule type="cellIs" dxfId="182" priority="66" stopIfTrue="1" operator="equal">
      <formula>"Failed"</formula>
    </cfRule>
    <cfRule type="cellIs" dxfId="181" priority="67" stopIfTrue="1" operator="equal">
      <formula>"In progress"</formula>
    </cfRule>
    <cfRule type="cellIs" dxfId="180" priority="68" stopIfTrue="1" operator="equal">
      <formula>"Passed"</formula>
    </cfRule>
  </conditionalFormatting>
  <conditionalFormatting sqref="G116">
    <cfRule type="cellIs" dxfId="179" priority="61" operator="equal">
      <formula>"N/A"</formula>
    </cfRule>
    <cfRule type="cellIs" dxfId="178" priority="62" stopIfTrue="1" operator="equal">
      <formula>"Failed"</formula>
    </cfRule>
    <cfRule type="cellIs" dxfId="177" priority="63" stopIfTrue="1" operator="equal">
      <formula>"In progress"</formula>
    </cfRule>
    <cfRule type="cellIs" dxfId="176" priority="64" stopIfTrue="1" operator="equal">
      <formula>"Passed"</formula>
    </cfRule>
  </conditionalFormatting>
  <conditionalFormatting sqref="G117">
    <cfRule type="cellIs" dxfId="175" priority="57" operator="equal">
      <formula>"N/A"</formula>
    </cfRule>
    <cfRule type="cellIs" dxfId="174" priority="58" stopIfTrue="1" operator="equal">
      <formula>"Failed"</formula>
    </cfRule>
    <cfRule type="cellIs" dxfId="173" priority="59" stopIfTrue="1" operator="equal">
      <formula>"In progress"</formula>
    </cfRule>
    <cfRule type="cellIs" dxfId="172" priority="60" stopIfTrue="1" operator="equal">
      <formula>"Passed"</formula>
    </cfRule>
  </conditionalFormatting>
  <conditionalFormatting sqref="G118">
    <cfRule type="cellIs" dxfId="171" priority="53" operator="equal">
      <formula>"N/A"</formula>
    </cfRule>
    <cfRule type="cellIs" dxfId="170" priority="54" stopIfTrue="1" operator="equal">
      <formula>"Failed"</formula>
    </cfRule>
    <cfRule type="cellIs" dxfId="169" priority="55" stopIfTrue="1" operator="equal">
      <formula>"In progress"</formula>
    </cfRule>
    <cfRule type="cellIs" dxfId="168" priority="56" stopIfTrue="1" operator="equal">
      <formula>"Passed"</formula>
    </cfRule>
  </conditionalFormatting>
  <conditionalFormatting sqref="G119">
    <cfRule type="cellIs" dxfId="167" priority="49" operator="equal">
      <formula>"N/A"</formula>
    </cfRule>
    <cfRule type="cellIs" dxfId="166" priority="50" stopIfTrue="1" operator="equal">
      <formula>"Failed"</formula>
    </cfRule>
    <cfRule type="cellIs" dxfId="165" priority="51" stopIfTrue="1" operator="equal">
      <formula>"In progress"</formula>
    </cfRule>
    <cfRule type="cellIs" dxfId="164" priority="52" stopIfTrue="1" operator="equal">
      <formula>"Passed"</formula>
    </cfRule>
  </conditionalFormatting>
  <conditionalFormatting sqref="G68">
    <cfRule type="cellIs" dxfId="163" priority="45" operator="equal">
      <formula>"N/A"</formula>
    </cfRule>
    <cfRule type="cellIs" dxfId="162" priority="46" stopIfTrue="1" operator="equal">
      <formula>"Failed"</formula>
    </cfRule>
    <cfRule type="cellIs" dxfId="161" priority="47" stopIfTrue="1" operator="equal">
      <formula>"In progress"</formula>
    </cfRule>
    <cfRule type="cellIs" dxfId="160" priority="48" stopIfTrue="1" operator="equal">
      <formula>"Passed"</formula>
    </cfRule>
  </conditionalFormatting>
  <conditionalFormatting sqref="G72">
    <cfRule type="cellIs" dxfId="159" priority="41" operator="equal">
      <formula>"N/A"</formula>
    </cfRule>
    <cfRule type="cellIs" dxfId="158" priority="42" stopIfTrue="1" operator="equal">
      <formula>"Failed"</formula>
    </cfRule>
    <cfRule type="cellIs" dxfId="157" priority="43" stopIfTrue="1" operator="equal">
      <formula>"In progress"</formula>
    </cfRule>
    <cfRule type="cellIs" dxfId="156" priority="44" stopIfTrue="1" operator="equal">
      <formula>"Passed"</formula>
    </cfRule>
  </conditionalFormatting>
  <conditionalFormatting sqref="G73">
    <cfRule type="cellIs" dxfId="155" priority="37" operator="equal">
      <formula>"N/A"</formula>
    </cfRule>
    <cfRule type="cellIs" dxfId="154" priority="38" stopIfTrue="1" operator="equal">
      <formula>"Failed"</formula>
    </cfRule>
    <cfRule type="cellIs" dxfId="153" priority="39" stopIfTrue="1" operator="equal">
      <formula>"In progress"</formula>
    </cfRule>
    <cfRule type="cellIs" dxfId="152" priority="40" stopIfTrue="1" operator="equal">
      <formula>"Passed"</formula>
    </cfRule>
  </conditionalFormatting>
  <conditionalFormatting sqref="G81">
    <cfRule type="cellIs" dxfId="151" priority="33" operator="equal">
      <formula>"N/A"</formula>
    </cfRule>
    <cfRule type="cellIs" dxfId="150" priority="34" stopIfTrue="1" operator="equal">
      <formula>"Failed"</formula>
    </cfRule>
    <cfRule type="cellIs" dxfId="149" priority="35" stopIfTrue="1" operator="equal">
      <formula>"In progress"</formula>
    </cfRule>
    <cfRule type="cellIs" dxfId="148" priority="36" stopIfTrue="1" operator="equal">
      <formula>"Passed"</formula>
    </cfRule>
  </conditionalFormatting>
  <conditionalFormatting sqref="G105">
    <cfRule type="cellIs" dxfId="147" priority="29" operator="equal">
      <formula>"N/A"</formula>
    </cfRule>
    <cfRule type="cellIs" dxfId="146" priority="30" stopIfTrue="1" operator="equal">
      <formula>"Failed"</formula>
    </cfRule>
    <cfRule type="cellIs" dxfId="145" priority="31" stopIfTrue="1" operator="equal">
      <formula>"In progress"</formula>
    </cfRule>
    <cfRule type="cellIs" dxfId="144" priority="32" stopIfTrue="1" operator="equal">
      <formula>"Passed"</formula>
    </cfRule>
  </conditionalFormatting>
  <conditionalFormatting sqref="G120">
    <cfRule type="cellIs" dxfId="143" priority="25" operator="equal">
      <formula>"N/A"</formula>
    </cfRule>
    <cfRule type="cellIs" dxfId="142" priority="26" stopIfTrue="1" operator="equal">
      <formula>"Failed"</formula>
    </cfRule>
    <cfRule type="cellIs" dxfId="141" priority="27" stopIfTrue="1" operator="equal">
      <formula>"In progress"</formula>
    </cfRule>
    <cfRule type="cellIs" dxfId="140" priority="28" stopIfTrue="1" operator="equal">
      <formula>"Passed"</formula>
    </cfRule>
  </conditionalFormatting>
  <conditionalFormatting sqref="G131">
    <cfRule type="cellIs" dxfId="139" priority="21" operator="equal">
      <formula>"N/A"</formula>
    </cfRule>
    <cfRule type="cellIs" dxfId="138" priority="22" stopIfTrue="1" operator="equal">
      <formula>"Failed"</formula>
    </cfRule>
    <cfRule type="cellIs" dxfId="137" priority="23" stopIfTrue="1" operator="equal">
      <formula>"In progress"</formula>
    </cfRule>
    <cfRule type="cellIs" dxfId="136" priority="24" stopIfTrue="1" operator="equal">
      <formula>"Passed"</formula>
    </cfRule>
  </conditionalFormatting>
  <conditionalFormatting sqref="G100">
    <cfRule type="cellIs" dxfId="135" priority="17" operator="equal">
      <formula>"N/A"</formula>
    </cfRule>
    <cfRule type="cellIs" dxfId="134" priority="18" stopIfTrue="1" operator="equal">
      <formula>"Failed"</formula>
    </cfRule>
    <cfRule type="cellIs" dxfId="133" priority="19" stopIfTrue="1" operator="equal">
      <formula>"In progress"</formula>
    </cfRule>
    <cfRule type="cellIs" dxfId="132" priority="20" stopIfTrue="1" operator="equal">
      <formula>"Passed"</formula>
    </cfRule>
  </conditionalFormatting>
  <conditionalFormatting sqref="G122">
    <cfRule type="cellIs" dxfId="131" priority="13" operator="equal">
      <formula>"N/A"</formula>
    </cfRule>
    <cfRule type="cellIs" dxfId="130" priority="14" stopIfTrue="1" operator="equal">
      <formula>"Failed"</formula>
    </cfRule>
    <cfRule type="cellIs" dxfId="129" priority="15" stopIfTrue="1" operator="equal">
      <formula>"In progress"</formula>
    </cfRule>
    <cfRule type="cellIs" dxfId="128" priority="16" stopIfTrue="1" operator="equal">
      <formula>"Passed"</formula>
    </cfRule>
  </conditionalFormatting>
  <conditionalFormatting sqref="G124">
    <cfRule type="cellIs" dxfId="127" priority="9" operator="equal">
      <formula>"N/A"</formula>
    </cfRule>
    <cfRule type="cellIs" dxfId="126" priority="10" stopIfTrue="1" operator="equal">
      <formula>"Failed"</formula>
    </cfRule>
    <cfRule type="cellIs" dxfId="125" priority="11" stopIfTrue="1" operator="equal">
      <formula>"In progress"</formula>
    </cfRule>
    <cfRule type="cellIs" dxfId="124" priority="12" stopIfTrue="1" operator="equal">
      <formula>"Passed"</formula>
    </cfRule>
  </conditionalFormatting>
  <conditionalFormatting sqref="G125">
    <cfRule type="cellIs" dxfId="123" priority="5" operator="equal">
      <formula>"N/A"</formula>
    </cfRule>
    <cfRule type="cellIs" dxfId="122" priority="6" stopIfTrue="1" operator="equal">
      <formula>"Failed"</formula>
    </cfRule>
    <cfRule type="cellIs" dxfId="121" priority="7" stopIfTrue="1" operator="equal">
      <formula>"In progress"</formula>
    </cfRule>
    <cfRule type="cellIs" dxfId="120" priority="8" stopIfTrue="1" operator="equal">
      <formula>"Passed"</formula>
    </cfRule>
  </conditionalFormatting>
  <conditionalFormatting sqref="G101">
    <cfRule type="cellIs" dxfId="119" priority="1" operator="equal">
      <formula>"N/A"</formula>
    </cfRule>
    <cfRule type="cellIs" dxfId="118" priority="2" stopIfTrue="1" operator="equal">
      <formula>"Failed"</formula>
    </cfRule>
    <cfRule type="cellIs" dxfId="117" priority="3" stopIfTrue="1" operator="equal">
      <formula>"In progress"</formula>
    </cfRule>
    <cfRule type="cellIs" dxfId="116" priority="4" stopIfTrue="1" operator="equal">
      <formula>"Passed"</formula>
    </cfRule>
  </conditionalFormatting>
  <pageMargins left="0.19685039370078741" right="0.19685039370078741" top="0.19685039370078741" bottom="0.19685039370078741" header="0" footer="0"/>
  <pageSetup paperSize="8" scale="46" fitToHeight="3"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45"/>
  <sheetViews>
    <sheetView zoomScale="70" zoomScaleNormal="70" workbookViewId="0">
      <selection activeCell="D17" sqref="C6:D17"/>
    </sheetView>
  </sheetViews>
  <sheetFormatPr baseColWidth="10" defaultRowHeight="12.75" outlineLevelRow="2" x14ac:dyDescent="0.2"/>
  <cols>
    <col min="1" max="1" width="15.28515625" customWidth="1"/>
    <col min="2" max="2" width="15.7109375" customWidth="1"/>
    <col min="3" max="3" width="84.28515625" customWidth="1"/>
    <col min="4" max="4" width="21.42578125" customWidth="1"/>
    <col min="5" max="5" width="24.7109375" customWidth="1"/>
    <col min="6" max="6" width="9.42578125" customWidth="1"/>
  </cols>
  <sheetData>
    <row r="1" spans="1:11" ht="38.25" x14ac:dyDescent="0.2">
      <c r="A1" s="75" t="s">
        <v>685</v>
      </c>
      <c r="B1" s="76" t="s">
        <v>686</v>
      </c>
      <c r="C1" s="76" t="s">
        <v>687</v>
      </c>
      <c r="D1" s="76" t="s">
        <v>688</v>
      </c>
      <c r="E1" s="76" t="s">
        <v>689</v>
      </c>
      <c r="F1" s="76" t="s">
        <v>690</v>
      </c>
      <c r="G1" s="76" t="s">
        <v>691</v>
      </c>
      <c r="H1" s="76" t="s">
        <v>692</v>
      </c>
      <c r="I1" s="76" t="s">
        <v>693</v>
      </c>
      <c r="J1" s="76" t="s">
        <v>694</v>
      </c>
      <c r="K1" s="76" t="s">
        <v>695</v>
      </c>
    </row>
    <row r="2" spans="1:11" x14ac:dyDescent="0.2">
      <c r="A2" s="7"/>
      <c r="B2" s="8"/>
      <c r="C2" s="8"/>
      <c r="D2" s="111"/>
      <c r="E2" s="111"/>
      <c r="F2" s="8"/>
      <c r="G2" s="8"/>
      <c r="H2" s="8"/>
      <c r="I2" s="8"/>
      <c r="J2" s="8"/>
      <c r="K2" s="8"/>
    </row>
    <row r="3" spans="1:11" outlineLevel="1" x14ac:dyDescent="0.2">
      <c r="A3" s="13"/>
      <c r="B3" s="25"/>
      <c r="C3" s="25"/>
      <c r="D3" s="94"/>
      <c r="E3" s="94"/>
      <c r="F3" s="25"/>
      <c r="G3" s="25"/>
      <c r="H3" s="25"/>
      <c r="I3" s="25"/>
      <c r="J3" s="25"/>
      <c r="K3" s="25"/>
    </row>
    <row r="4" spans="1:11" outlineLevel="2" x14ac:dyDescent="0.2">
      <c r="A4" s="13" t="s">
        <v>515</v>
      </c>
      <c r="B4" s="25"/>
      <c r="C4" s="25"/>
      <c r="D4" s="94"/>
      <c r="E4" s="94"/>
      <c r="F4" s="25"/>
      <c r="G4" s="25"/>
      <c r="H4" s="25"/>
      <c r="I4" s="25"/>
      <c r="J4" s="25"/>
      <c r="K4" s="25"/>
    </row>
    <row r="5" spans="1:11" ht="25.5" outlineLevel="2" x14ac:dyDescent="0.2">
      <c r="A5" s="13" t="s">
        <v>515</v>
      </c>
      <c r="B5" s="14" t="s">
        <v>517</v>
      </c>
      <c r="C5" s="14" t="s">
        <v>516</v>
      </c>
      <c r="D5" s="95" t="s">
        <v>639</v>
      </c>
      <c r="E5" s="95"/>
      <c r="F5" s="14" t="s">
        <v>156</v>
      </c>
      <c r="G5" s="14" t="s">
        <v>221</v>
      </c>
      <c r="H5" s="14"/>
      <c r="I5" s="14" t="s">
        <v>221</v>
      </c>
      <c r="J5" s="14" t="s">
        <v>221</v>
      </c>
      <c r="K5" s="96">
        <v>42826</v>
      </c>
    </row>
    <row r="6" spans="1:11" ht="25.5" outlineLevel="2" x14ac:dyDescent="0.2">
      <c r="A6" s="13" t="s">
        <v>515</v>
      </c>
      <c r="B6" s="14" t="s">
        <v>517</v>
      </c>
      <c r="C6" s="14" t="s">
        <v>516</v>
      </c>
      <c r="D6" s="95" t="s">
        <v>640</v>
      </c>
      <c r="E6" s="95"/>
      <c r="F6" s="14" t="s">
        <v>156</v>
      </c>
      <c r="G6" s="14" t="s">
        <v>221</v>
      </c>
      <c r="H6" s="14"/>
      <c r="I6" s="14" t="s">
        <v>221</v>
      </c>
      <c r="J6" s="14" t="s">
        <v>221</v>
      </c>
      <c r="K6" s="96">
        <v>42826</v>
      </c>
    </row>
    <row r="7" spans="1:11" ht="25.5" outlineLevel="1" x14ac:dyDescent="0.2">
      <c r="A7" s="13" t="s">
        <v>515</v>
      </c>
      <c r="B7" s="14" t="s">
        <v>517</v>
      </c>
      <c r="C7" s="14" t="s">
        <v>518</v>
      </c>
      <c r="D7" s="95" t="s">
        <v>639</v>
      </c>
      <c r="E7" s="95"/>
      <c r="F7" s="14" t="s">
        <v>156</v>
      </c>
      <c r="G7" s="14" t="s">
        <v>221</v>
      </c>
      <c r="H7" s="14"/>
      <c r="I7" s="14" t="s">
        <v>221</v>
      </c>
      <c r="J7" s="14" t="s">
        <v>221</v>
      </c>
      <c r="K7" s="96">
        <v>42887</v>
      </c>
    </row>
    <row r="8" spans="1:11" ht="25.5" x14ac:dyDescent="0.2">
      <c r="A8" s="13" t="s">
        <v>515</v>
      </c>
      <c r="B8" s="14" t="s">
        <v>517</v>
      </c>
      <c r="C8" s="14" t="s">
        <v>518</v>
      </c>
      <c r="D8" s="95" t="s">
        <v>640</v>
      </c>
      <c r="E8" s="95"/>
      <c r="F8" s="14" t="s">
        <v>156</v>
      </c>
      <c r="G8" s="14" t="s">
        <v>221</v>
      </c>
      <c r="H8" s="14"/>
      <c r="I8" s="14" t="s">
        <v>221</v>
      </c>
      <c r="J8" s="14" t="s">
        <v>221</v>
      </c>
      <c r="K8" s="96">
        <v>42887</v>
      </c>
    </row>
    <row r="9" spans="1:11" ht="25.5" x14ac:dyDescent="0.2">
      <c r="A9" s="13" t="s">
        <v>515</v>
      </c>
      <c r="B9" s="14" t="s">
        <v>517</v>
      </c>
      <c r="C9" s="14" t="s">
        <v>519</v>
      </c>
      <c r="D9" s="95" t="s">
        <v>639</v>
      </c>
      <c r="E9" s="95"/>
      <c r="F9" s="14" t="s">
        <v>156</v>
      </c>
      <c r="G9" s="14" t="s">
        <v>221</v>
      </c>
      <c r="H9" s="14"/>
      <c r="I9" s="14" t="s">
        <v>221</v>
      </c>
      <c r="J9" s="14" t="s">
        <v>221</v>
      </c>
      <c r="K9" s="96">
        <v>42887</v>
      </c>
    </row>
    <row r="10" spans="1:11" ht="25.5" x14ac:dyDescent="0.2">
      <c r="A10" s="13" t="s">
        <v>515</v>
      </c>
      <c r="B10" s="14" t="s">
        <v>517</v>
      </c>
      <c r="C10" s="14" t="s">
        <v>519</v>
      </c>
      <c r="D10" s="95" t="s">
        <v>640</v>
      </c>
      <c r="E10" s="95"/>
      <c r="F10" s="14" t="s">
        <v>156</v>
      </c>
      <c r="G10" s="14" t="s">
        <v>221</v>
      </c>
      <c r="H10" s="14"/>
      <c r="I10" s="14" t="s">
        <v>221</v>
      </c>
      <c r="J10" s="14" t="s">
        <v>221</v>
      </c>
      <c r="K10" s="96">
        <v>42887</v>
      </c>
    </row>
    <row r="11" spans="1:11" x14ac:dyDescent="0.2">
      <c r="A11" s="13" t="s">
        <v>193</v>
      </c>
      <c r="B11" s="25"/>
      <c r="C11" s="25"/>
      <c r="D11" s="94"/>
      <c r="E11" s="94"/>
      <c r="F11" s="25"/>
      <c r="G11" s="25"/>
      <c r="H11" s="25"/>
      <c r="I11" s="25"/>
      <c r="J11" s="25"/>
      <c r="K11" s="25"/>
    </row>
    <row r="12" spans="1:11" ht="63.75" x14ac:dyDescent="0.2">
      <c r="A12" s="13" t="s">
        <v>193</v>
      </c>
      <c r="B12" s="14" t="s">
        <v>520</v>
      </c>
      <c r="C12" s="14" t="s">
        <v>194</v>
      </c>
      <c r="D12" s="95" t="s">
        <v>640</v>
      </c>
      <c r="E12" s="97">
        <v>2.0833333333333332E-2</v>
      </c>
      <c r="F12" s="98" t="s">
        <v>641</v>
      </c>
      <c r="G12" s="14" t="s">
        <v>642</v>
      </c>
      <c r="H12" s="14"/>
      <c r="I12" s="14"/>
      <c r="J12" s="14"/>
      <c r="K12" s="14"/>
    </row>
    <row r="13" spans="1:11" ht="25.5" x14ac:dyDescent="0.2">
      <c r="A13" s="13" t="s">
        <v>193</v>
      </c>
      <c r="B13" s="14" t="s">
        <v>520</v>
      </c>
      <c r="C13" s="14" t="s">
        <v>521</v>
      </c>
      <c r="D13" s="95" t="s">
        <v>640</v>
      </c>
      <c r="E13" s="97">
        <v>1.0416666666666666E-2</v>
      </c>
      <c r="F13" s="98" t="s">
        <v>641</v>
      </c>
      <c r="G13" s="14" t="s">
        <v>643</v>
      </c>
      <c r="H13" s="14"/>
      <c r="I13" s="14"/>
      <c r="J13" s="14"/>
      <c r="K13" s="14"/>
    </row>
    <row r="14" spans="1:11" ht="25.5" x14ac:dyDescent="0.2">
      <c r="A14" s="13" t="s">
        <v>193</v>
      </c>
      <c r="B14" s="14" t="s">
        <v>520</v>
      </c>
      <c r="C14" s="14" t="s">
        <v>522</v>
      </c>
      <c r="D14" s="95" t="s">
        <v>640</v>
      </c>
      <c r="E14" s="97">
        <v>6.9444444444444441E-3</v>
      </c>
      <c r="F14" s="99" t="s">
        <v>644</v>
      </c>
      <c r="G14" s="100">
        <v>6.9444444444444441E-3</v>
      </c>
      <c r="H14" s="14"/>
      <c r="I14" s="14"/>
      <c r="J14" s="14"/>
      <c r="K14" s="14"/>
    </row>
    <row r="15" spans="1:11" ht="25.5" x14ac:dyDescent="0.2">
      <c r="A15" s="13" t="s">
        <v>193</v>
      </c>
      <c r="B15" s="14" t="s">
        <v>520</v>
      </c>
      <c r="C15" s="14" t="s">
        <v>645</v>
      </c>
      <c r="D15" s="95" t="s">
        <v>640</v>
      </c>
      <c r="E15" s="97">
        <v>3.472222222222222E-3</v>
      </c>
      <c r="F15" s="98" t="s">
        <v>641</v>
      </c>
      <c r="G15" s="14" t="s">
        <v>643</v>
      </c>
      <c r="H15" s="14"/>
      <c r="I15" s="14"/>
      <c r="J15" s="14"/>
      <c r="K15" s="14"/>
    </row>
    <row r="16" spans="1:11" ht="25.5" x14ac:dyDescent="0.2">
      <c r="A16" s="13" t="s">
        <v>193</v>
      </c>
      <c r="B16" s="14" t="s">
        <v>520</v>
      </c>
      <c r="C16" s="14" t="s">
        <v>523</v>
      </c>
      <c r="D16" s="95" t="s">
        <v>640</v>
      </c>
      <c r="E16" s="97">
        <v>6.9444444444444441E-3</v>
      </c>
      <c r="F16" s="99" t="s">
        <v>644</v>
      </c>
      <c r="G16" s="100">
        <v>3.472222222222222E-3</v>
      </c>
      <c r="H16" s="14"/>
      <c r="I16" s="14"/>
      <c r="J16" s="14"/>
      <c r="K16" s="14"/>
    </row>
    <row r="17" spans="1:12" x14ac:dyDescent="0.2">
      <c r="A17" s="13" t="s">
        <v>193</v>
      </c>
      <c r="B17" s="101" t="s">
        <v>646</v>
      </c>
      <c r="C17" s="54" t="s">
        <v>524</v>
      </c>
      <c r="D17" s="95" t="s">
        <v>640</v>
      </c>
      <c r="E17" s="97">
        <v>6.9444444444444441E-3</v>
      </c>
      <c r="F17" s="99" t="s">
        <v>644</v>
      </c>
      <c r="G17" s="100">
        <v>1.3888888888888889E-3</v>
      </c>
      <c r="H17" s="100"/>
      <c r="I17" s="14"/>
      <c r="J17" s="14"/>
      <c r="K17" s="14"/>
    </row>
    <row r="18" spans="1:12" x14ac:dyDescent="0.2">
      <c r="A18" s="13" t="s">
        <v>193</v>
      </c>
      <c r="B18" s="101" t="s">
        <v>646</v>
      </c>
      <c r="C18" s="54" t="s">
        <v>525</v>
      </c>
      <c r="D18" s="95" t="s">
        <v>640</v>
      </c>
      <c r="E18" s="97">
        <v>6.9444444444444441E-3</v>
      </c>
      <c r="F18" s="99" t="s">
        <v>644</v>
      </c>
      <c r="G18" s="100">
        <v>1.3888888888888889E-3</v>
      </c>
      <c r="H18" s="100"/>
      <c r="I18" s="14"/>
      <c r="J18" s="14"/>
      <c r="K18" s="14"/>
    </row>
    <row r="19" spans="1:12" ht="25.5" x14ac:dyDescent="0.2">
      <c r="A19" s="13" t="s">
        <v>193</v>
      </c>
      <c r="B19" s="101" t="s">
        <v>646</v>
      </c>
      <c r="C19" s="14" t="s">
        <v>526</v>
      </c>
      <c r="D19" s="95" t="s">
        <v>640</v>
      </c>
      <c r="E19" s="97">
        <v>6.9444444444444441E-3</v>
      </c>
      <c r="F19" s="98" t="s">
        <v>641</v>
      </c>
      <c r="G19" s="89" t="s">
        <v>647</v>
      </c>
      <c r="H19" s="102" t="s">
        <v>696</v>
      </c>
      <c r="I19" s="14"/>
      <c r="J19" s="14"/>
      <c r="K19" s="14"/>
    </row>
    <row r="20" spans="1:12" x14ac:dyDescent="0.2">
      <c r="A20" s="13" t="s">
        <v>193</v>
      </c>
      <c r="B20" s="101" t="s">
        <v>646</v>
      </c>
      <c r="C20" s="14" t="s">
        <v>527</v>
      </c>
      <c r="D20" s="95" t="s">
        <v>640</v>
      </c>
      <c r="E20" s="97">
        <v>1.0416666666666666E-2</v>
      </c>
      <c r="F20" s="99" t="s">
        <v>644</v>
      </c>
      <c r="G20" s="100">
        <v>4.8611111111111112E-3</v>
      </c>
      <c r="H20" s="100"/>
      <c r="I20" s="14"/>
      <c r="J20" s="14"/>
      <c r="K20" s="14"/>
    </row>
    <row r="21" spans="1:12" x14ac:dyDescent="0.2">
      <c r="A21" s="13" t="s">
        <v>193</v>
      </c>
      <c r="B21" s="103" t="s">
        <v>646</v>
      </c>
      <c r="C21" s="14" t="s">
        <v>528</v>
      </c>
      <c r="D21" s="95" t="s">
        <v>640</v>
      </c>
      <c r="E21" s="97">
        <v>3.472222222222222E-3</v>
      </c>
      <c r="F21" s="98" t="s">
        <v>641</v>
      </c>
      <c r="G21" s="14"/>
      <c r="H21" s="14" t="s">
        <v>648</v>
      </c>
      <c r="I21" s="14"/>
      <c r="J21" s="14"/>
      <c r="K21" s="14"/>
    </row>
    <row r="22" spans="1:12" x14ac:dyDescent="0.2">
      <c r="A22" s="13" t="s">
        <v>193</v>
      </c>
      <c r="B22" s="103" t="s">
        <v>646</v>
      </c>
      <c r="C22" s="14" t="s">
        <v>529</v>
      </c>
      <c r="D22" s="95" t="s">
        <v>640</v>
      </c>
      <c r="E22" s="97">
        <v>3.472222222222222E-3</v>
      </c>
      <c r="F22" s="98" t="s">
        <v>641</v>
      </c>
      <c r="H22" s="18" t="s">
        <v>649</v>
      </c>
      <c r="K22" s="14"/>
    </row>
    <row r="23" spans="1:12" ht="25.5" x14ac:dyDescent="0.2">
      <c r="A23" s="13" t="s">
        <v>193</v>
      </c>
      <c r="B23" s="14" t="s">
        <v>520</v>
      </c>
      <c r="C23" s="14" t="s">
        <v>530</v>
      </c>
      <c r="D23" s="95" t="s">
        <v>640</v>
      </c>
      <c r="E23" s="95"/>
      <c r="F23" s="14" t="s">
        <v>156</v>
      </c>
      <c r="G23" s="14" t="s">
        <v>221</v>
      </c>
      <c r="H23" s="14"/>
      <c r="I23" s="14" t="s">
        <v>221</v>
      </c>
      <c r="J23" s="14" t="s">
        <v>221</v>
      </c>
      <c r="K23" s="14" t="s">
        <v>650</v>
      </c>
    </row>
    <row r="24" spans="1:12" ht="25.5" x14ac:dyDescent="0.2">
      <c r="A24" s="13" t="s">
        <v>193</v>
      </c>
      <c r="B24" s="14" t="s">
        <v>520</v>
      </c>
      <c r="C24" s="14" t="s">
        <v>531</v>
      </c>
      <c r="D24" s="95" t="s">
        <v>640</v>
      </c>
      <c r="E24" s="97">
        <v>3.472222222222222E-3</v>
      </c>
      <c r="F24" s="98" t="s">
        <v>641</v>
      </c>
      <c r="G24" s="14" t="s">
        <v>651</v>
      </c>
      <c r="H24" s="14"/>
      <c r="I24" s="14"/>
      <c r="J24" s="14"/>
      <c r="K24" s="14"/>
    </row>
    <row r="25" spans="1:12" ht="38.25" x14ac:dyDescent="0.2">
      <c r="A25" s="13" t="s">
        <v>193</v>
      </c>
      <c r="B25" s="103" t="s">
        <v>646</v>
      </c>
      <c r="C25" s="14" t="s">
        <v>532</v>
      </c>
      <c r="D25" s="95" t="s">
        <v>640</v>
      </c>
      <c r="E25" s="104">
        <v>6.9444444444444441E-3</v>
      </c>
      <c r="F25" s="99" t="s">
        <v>644</v>
      </c>
      <c r="G25" s="14"/>
      <c r="H25" s="14" t="s">
        <v>652</v>
      </c>
      <c r="I25" s="14"/>
      <c r="J25" s="14"/>
      <c r="K25" s="14"/>
    </row>
    <row r="26" spans="1:12" ht="38.25" x14ac:dyDescent="0.2">
      <c r="A26" s="13" t="s">
        <v>193</v>
      </c>
      <c r="B26" s="103" t="s">
        <v>646</v>
      </c>
      <c r="C26" s="14" t="s">
        <v>533</v>
      </c>
      <c r="D26" s="95" t="s">
        <v>640</v>
      </c>
      <c r="E26" s="104">
        <v>6.9444444444444441E-3</v>
      </c>
      <c r="F26" s="99" t="s">
        <v>644</v>
      </c>
      <c r="G26" s="14"/>
      <c r="H26" s="14" t="s">
        <v>697</v>
      </c>
      <c r="I26" s="14"/>
      <c r="J26" s="14"/>
      <c r="K26" s="14"/>
    </row>
    <row r="27" spans="1:12" x14ac:dyDescent="0.2">
      <c r="A27" s="13" t="s">
        <v>193</v>
      </c>
      <c r="B27" s="103" t="s">
        <v>646</v>
      </c>
      <c r="C27" s="14" t="s">
        <v>534</v>
      </c>
      <c r="D27" s="95" t="s">
        <v>640</v>
      </c>
      <c r="E27" s="97">
        <v>3.472222222222222E-3</v>
      </c>
      <c r="F27" s="99" t="s">
        <v>644</v>
      </c>
      <c r="G27" s="14"/>
      <c r="H27" s="14"/>
      <c r="I27" s="14"/>
      <c r="J27" s="14"/>
      <c r="K27" s="14"/>
    </row>
    <row r="28" spans="1:12" x14ac:dyDescent="0.2">
      <c r="A28" s="13" t="s">
        <v>653</v>
      </c>
      <c r="B28" s="25"/>
      <c r="C28" s="25"/>
      <c r="D28" s="94"/>
      <c r="E28" s="94"/>
      <c r="F28" s="25"/>
      <c r="G28" s="25"/>
      <c r="H28" s="25"/>
      <c r="I28" s="25"/>
      <c r="J28" s="25"/>
      <c r="K28" s="25"/>
    </row>
    <row r="29" spans="1:12" ht="25.5" x14ac:dyDescent="0.2">
      <c r="A29" s="13" t="s">
        <v>653</v>
      </c>
      <c r="B29" s="14" t="s">
        <v>574</v>
      </c>
      <c r="C29" s="14" t="s">
        <v>573</v>
      </c>
      <c r="D29" s="95" t="s">
        <v>639</v>
      </c>
      <c r="E29" s="97">
        <v>2.0833333333333332E-2</v>
      </c>
      <c r="F29" s="99" t="s">
        <v>644</v>
      </c>
      <c r="G29" s="89">
        <v>2.4999999999999998E-2</v>
      </c>
      <c r="H29" s="14"/>
      <c r="I29" s="14"/>
      <c r="J29" s="14"/>
      <c r="K29" s="14"/>
      <c r="L29" t="s">
        <v>698</v>
      </c>
    </row>
    <row r="30" spans="1:12" ht="76.5" x14ac:dyDescent="0.2">
      <c r="A30" s="13" t="s">
        <v>653</v>
      </c>
      <c r="B30" s="14" t="s">
        <v>574</v>
      </c>
      <c r="C30" s="14" t="s">
        <v>575</v>
      </c>
      <c r="D30" s="95" t="s">
        <v>639</v>
      </c>
      <c r="E30" s="97">
        <v>2.0833333333333332E-2</v>
      </c>
      <c r="F30" s="99" t="s">
        <v>644</v>
      </c>
      <c r="G30" s="14" t="s">
        <v>654</v>
      </c>
      <c r="H30" s="14"/>
      <c r="I30" s="14" t="s">
        <v>221</v>
      </c>
      <c r="J30" s="14" t="s">
        <v>221</v>
      </c>
      <c r="K30" s="14" t="s">
        <v>655</v>
      </c>
      <c r="L30" s="112" t="s">
        <v>699</v>
      </c>
    </row>
    <row r="31" spans="1:12" ht="25.5" x14ac:dyDescent="0.2">
      <c r="A31" s="13" t="s">
        <v>653</v>
      </c>
      <c r="B31" s="14" t="s">
        <v>574</v>
      </c>
      <c r="C31" s="14" t="s">
        <v>576</v>
      </c>
      <c r="D31" s="95" t="s">
        <v>639</v>
      </c>
      <c r="E31" s="97">
        <v>1.0416666666666666E-2</v>
      </c>
      <c r="F31" s="99" t="s">
        <v>644</v>
      </c>
      <c r="G31" s="89">
        <v>8.3333333333333332E-3</v>
      </c>
      <c r="H31" s="14"/>
      <c r="I31" s="14"/>
      <c r="J31" s="14"/>
      <c r="K31" s="14"/>
    </row>
    <row r="32" spans="1:12" ht="25.5" x14ac:dyDescent="0.2">
      <c r="A32" s="13" t="s">
        <v>653</v>
      </c>
      <c r="B32" s="14" t="s">
        <v>574</v>
      </c>
      <c r="C32" s="14" t="s">
        <v>577</v>
      </c>
      <c r="D32" s="95" t="s">
        <v>639</v>
      </c>
      <c r="E32" s="97">
        <v>1.0416666666666666E-2</v>
      </c>
      <c r="F32" s="99" t="s">
        <v>644</v>
      </c>
      <c r="G32" s="89">
        <v>1.2499999999999999E-2</v>
      </c>
      <c r="H32" s="14"/>
      <c r="I32" s="14"/>
      <c r="J32" s="14"/>
      <c r="K32" s="14"/>
    </row>
    <row r="33" spans="1:11" x14ac:dyDescent="0.2">
      <c r="A33" s="13" t="s">
        <v>195</v>
      </c>
      <c r="B33" s="25"/>
      <c r="C33" s="25"/>
      <c r="D33" s="94"/>
      <c r="E33" s="94"/>
      <c r="F33" s="25"/>
      <c r="G33" s="25"/>
      <c r="H33" s="25"/>
      <c r="I33" s="25"/>
      <c r="J33" s="25"/>
      <c r="K33" s="25"/>
    </row>
    <row r="34" spans="1:11" x14ac:dyDescent="0.2">
      <c r="A34" s="13"/>
      <c r="B34" s="101" t="s">
        <v>656</v>
      </c>
      <c r="C34" s="14" t="s">
        <v>657</v>
      </c>
      <c r="D34" s="95" t="s">
        <v>658</v>
      </c>
      <c r="E34" s="97">
        <v>3.472222222222222E-3</v>
      </c>
      <c r="F34" s="99" t="s">
        <v>644</v>
      </c>
      <c r="G34" s="97">
        <v>3.472222222222222E-3</v>
      </c>
      <c r="H34" s="97"/>
      <c r="I34" s="14"/>
      <c r="J34" s="14"/>
      <c r="K34" s="14"/>
    </row>
    <row r="35" spans="1:11" ht="51" x14ac:dyDescent="0.2">
      <c r="A35" s="13"/>
      <c r="B35" s="105" t="s">
        <v>656</v>
      </c>
      <c r="C35" s="14" t="s">
        <v>659</v>
      </c>
      <c r="D35" s="95" t="s">
        <v>640</v>
      </c>
      <c r="E35" s="97">
        <v>6.9444444444444441E-3</v>
      </c>
      <c r="F35" s="99" t="s">
        <v>644</v>
      </c>
      <c r="G35" s="97" t="s">
        <v>660</v>
      </c>
      <c r="H35" s="97" t="s">
        <v>661</v>
      </c>
      <c r="I35" s="14"/>
      <c r="J35" s="14"/>
      <c r="K35" s="14"/>
    </row>
    <row r="36" spans="1:11" x14ac:dyDescent="0.2">
      <c r="A36" s="13"/>
      <c r="B36" s="105" t="s">
        <v>656</v>
      </c>
      <c r="C36" s="14" t="s">
        <v>662</v>
      </c>
      <c r="D36" s="95" t="s">
        <v>640</v>
      </c>
      <c r="E36" s="97">
        <v>6.9444444444444441E-3</v>
      </c>
      <c r="F36" s="99" t="s">
        <v>644</v>
      </c>
      <c r="G36" s="97">
        <v>6.9444444444444441E-3</v>
      </c>
      <c r="H36" s="97"/>
      <c r="I36" s="14"/>
      <c r="J36" s="14"/>
      <c r="K36" s="14"/>
    </row>
    <row r="37" spans="1:11" x14ac:dyDescent="0.2">
      <c r="A37" s="13"/>
      <c r="B37" s="105" t="s">
        <v>656</v>
      </c>
      <c r="C37" s="14" t="s">
        <v>663</v>
      </c>
      <c r="D37" s="95" t="s">
        <v>640</v>
      </c>
      <c r="E37" s="97">
        <v>1.3888888888888889E-3</v>
      </c>
      <c r="F37" s="99" t="s">
        <v>644</v>
      </c>
      <c r="G37" s="97">
        <v>1.3888888888888889E-3</v>
      </c>
      <c r="H37" s="97"/>
      <c r="I37" s="14"/>
      <c r="J37" s="14"/>
      <c r="K37" s="14"/>
    </row>
    <row r="38" spans="1:11" ht="25.5" x14ac:dyDescent="0.2">
      <c r="A38" s="13"/>
      <c r="B38" s="14" t="s">
        <v>536</v>
      </c>
      <c r="C38" s="14" t="s">
        <v>664</v>
      </c>
      <c r="D38" s="95" t="s">
        <v>658</v>
      </c>
      <c r="E38" s="97">
        <v>3.472222222222222E-3</v>
      </c>
      <c r="F38" s="99" t="s">
        <v>644</v>
      </c>
      <c r="G38" s="97">
        <v>3.472222222222222E-3</v>
      </c>
      <c r="H38" s="14"/>
      <c r="I38" s="14"/>
      <c r="J38" s="14"/>
      <c r="K38" s="14"/>
    </row>
    <row r="39" spans="1:11" ht="25.5" x14ac:dyDescent="0.2">
      <c r="A39" s="13"/>
      <c r="B39" s="14" t="s">
        <v>536</v>
      </c>
      <c r="C39" s="14" t="s">
        <v>665</v>
      </c>
      <c r="D39" s="95" t="s">
        <v>658</v>
      </c>
      <c r="E39" s="97">
        <v>3.472222222222222E-3</v>
      </c>
      <c r="F39" s="99" t="s">
        <v>644</v>
      </c>
      <c r="G39" s="97">
        <v>3.472222222222222E-3</v>
      </c>
      <c r="H39" s="14"/>
      <c r="I39" s="14"/>
      <c r="J39" s="14"/>
      <c r="K39" s="14"/>
    </row>
    <row r="40" spans="1:11" ht="25.5" x14ac:dyDescent="0.2">
      <c r="A40" s="13" t="s">
        <v>195</v>
      </c>
      <c r="B40" s="14" t="s">
        <v>536</v>
      </c>
      <c r="C40" s="14" t="s">
        <v>578</v>
      </c>
      <c r="D40" s="95" t="s">
        <v>658</v>
      </c>
      <c r="E40" s="97">
        <v>3.472222222222222E-3</v>
      </c>
      <c r="F40" s="99" t="s">
        <v>644</v>
      </c>
      <c r="G40" s="97">
        <v>3.472222222222222E-3</v>
      </c>
      <c r="H40" s="14"/>
      <c r="I40" s="14"/>
      <c r="J40" s="14"/>
      <c r="K40" s="14"/>
    </row>
    <row r="41" spans="1:11" ht="25.5" x14ac:dyDescent="0.2">
      <c r="A41" s="13" t="s">
        <v>195</v>
      </c>
      <c r="B41" s="14" t="s">
        <v>536</v>
      </c>
      <c r="C41" s="14" t="s">
        <v>579</v>
      </c>
      <c r="D41" s="95" t="s">
        <v>658</v>
      </c>
      <c r="E41" s="97">
        <v>3.472222222222222E-3</v>
      </c>
      <c r="F41" s="99" t="s">
        <v>644</v>
      </c>
      <c r="G41" s="97">
        <v>6.9444444444444441E-3</v>
      </c>
      <c r="H41" s="14"/>
      <c r="I41" s="14"/>
      <c r="J41" s="14"/>
      <c r="K41" s="14"/>
    </row>
    <row r="42" spans="1:11" ht="25.5" x14ac:dyDescent="0.2">
      <c r="A42" s="13" t="s">
        <v>195</v>
      </c>
      <c r="B42" s="14" t="s">
        <v>536</v>
      </c>
      <c r="C42" s="14" t="s">
        <v>535</v>
      </c>
      <c r="D42" s="95" t="s">
        <v>640</v>
      </c>
      <c r="E42" s="97">
        <v>6.9444444444444441E-3</v>
      </c>
      <c r="F42" s="99" t="s">
        <v>644</v>
      </c>
      <c r="G42" s="97">
        <v>3.472222222222222E-3</v>
      </c>
      <c r="H42" s="14"/>
      <c r="I42" s="14"/>
      <c r="J42" s="14"/>
      <c r="K42" s="14"/>
    </row>
    <row r="43" spans="1:11" ht="25.5" x14ac:dyDescent="0.2">
      <c r="A43" s="13" t="s">
        <v>195</v>
      </c>
      <c r="B43" s="14" t="s">
        <v>536</v>
      </c>
      <c r="C43" s="14" t="s">
        <v>537</v>
      </c>
      <c r="D43" s="95" t="s">
        <v>640</v>
      </c>
      <c r="E43" s="97">
        <v>6.9444444444444441E-3</v>
      </c>
      <c r="F43" s="99" t="s">
        <v>644</v>
      </c>
      <c r="G43" s="97">
        <v>3.472222222222222E-3</v>
      </c>
      <c r="H43" s="14"/>
      <c r="I43" s="14"/>
      <c r="J43" s="14"/>
      <c r="K43" s="14"/>
    </row>
    <row r="44" spans="1:11" ht="25.5" x14ac:dyDescent="0.2">
      <c r="A44" s="13" t="s">
        <v>195</v>
      </c>
      <c r="B44" s="14" t="s">
        <v>536</v>
      </c>
      <c r="C44" s="14" t="s">
        <v>538</v>
      </c>
      <c r="D44" s="95" t="s">
        <v>640</v>
      </c>
      <c r="E44" s="97">
        <v>6.9444444444444441E-3</v>
      </c>
      <c r="F44" s="99" t="s">
        <v>644</v>
      </c>
      <c r="G44" s="97">
        <v>3.472222222222222E-3</v>
      </c>
      <c r="H44" s="14"/>
      <c r="I44" s="14"/>
      <c r="J44" s="14"/>
      <c r="K44" s="14"/>
    </row>
    <row r="45" spans="1:11" ht="25.5" x14ac:dyDescent="0.2">
      <c r="A45" s="13" t="s">
        <v>195</v>
      </c>
      <c r="B45" s="105" t="s">
        <v>656</v>
      </c>
      <c r="C45" s="14" t="s">
        <v>539</v>
      </c>
      <c r="D45" s="95" t="s">
        <v>640</v>
      </c>
      <c r="E45" s="97">
        <v>6.9444444444444441E-3</v>
      </c>
      <c r="F45" s="99" t="s">
        <v>644</v>
      </c>
      <c r="G45" s="97">
        <v>6.9444444444444441E-3</v>
      </c>
      <c r="H45" s="97"/>
      <c r="I45" s="14"/>
      <c r="J45" s="14"/>
      <c r="K45" s="14"/>
    </row>
    <row r="46" spans="1:11" ht="25.5" x14ac:dyDescent="0.2">
      <c r="A46" s="13" t="s">
        <v>195</v>
      </c>
      <c r="B46" s="105" t="s">
        <v>656</v>
      </c>
      <c r="C46" s="14" t="s">
        <v>540</v>
      </c>
      <c r="D46" s="95" t="s">
        <v>640</v>
      </c>
      <c r="E46" s="97">
        <v>6.9444444444444441E-3</v>
      </c>
      <c r="F46" s="99" t="s">
        <v>644</v>
      </c>
      <c r="G46" s="97">
        <v>6.9444444444444441E-3</v>
      </c>
      <c r="H46" s="97"/>
      <c r="I46" s="14"/>
      <c r="J46" s="14"/>
      <c r="K46" s="14"/>
    </row>
    <row r="47" spans="1:11" ht="25.5" x14ac:dyDescent="0.2">
      <c r="A47" s="13" t="s">
        <v>195</v>
      </c>
      <c r="B47" s="14" t="s">
        <v>536</v>
      </c>
      <c r="C47" s="14" t="s">
        <v>580</v>
      </c>
      <c r="D47" s="95" t="s">
        <v>658</v>
      </c>
      <c r="E47" s="97">
        <v>3.472222222222222E-3</v>
      </c>
      <c r="F47" s="99" t="s">
        <v>644</v>
      </c>
      <c r="G47" s="97">
        <v>6.9444444444444441E-3</v>
      </c>
      <c r="H47" s="14"/>
      <c r="I47" s="14"/>
      <c r="J47" s="14"/>
      <c r="K47" s="14"/>
    </row>
    <row r="48" spans="1:11" ht="25.5" x14ac:dyDescent="0.2">
      <c r="A48" s="13" t="s">
        <v>195</v>
      </c>
      <c r="B48" s="14" t="s">
        <v>536</v>
      </c>
      <c r="C48" s="14" t="s">
        <v>581</v>
      </c>
      <c r="D48" s="95" t="s">
        <v>658</v>
      </c>
      <c r="E48" s="97">
        <v>6.9444444444444441E-3</v>
      </c>
      <c r="F48" s="99" t="s">
        <v>644</v>
      </c>
      <c r="G48" s="97">
        <v>6.9444444444444441E-3</v>
      </c>
      <c r="H48" s="14"/>
      <c r="I48" s="14"/>
      <c r="J48" s="14"/>
      <c r="K48" s="14"/>
    </row>
    <row r="49" spans="1:11" ht="25.5" x14ac:dyDescent="0.2">
      <c r="A49" s="13" t="s">
        <v>195</v>
      </c>
      <c r="B49" s="106" t="s">
        <v>536</v>
      </c>
      <c r="C49" s="14" t="s">
        <v>582</v>
      </c>
      <c r="D49" s="95" t="s">
        <v>658</v>
      </c>
      <c r="E49" s="97">
        <v>3.472222222222222E-3</v>
      </c>
      <c r="F49" s="99" t="s">
        <v>644</v>
      </c>
      <c r="G49" s="97">
        <v>3.472222222222222E-3</v>
      </c>
      <c r="H49" s="14"/>
      <c r="I49" s="14"/>
      <c r="J49" s="14"/>
      <c r="K49" s="14"/>
    </row>
    <row r="50" spans="1:11" ht="25.5" x14ac:dyDescent="0.2">
      <c r="A50" s="13" t="s">
        <v>195</v>
      </c>
      <c r="B50" s="101" t="s">
        <v>656</v>
      </c>
      <c r="C50" s="14" t="s">
        <v>583</v>
      </c>
      <c r="D50" s="95" t="s">
        <v>658</v>
      </c>
      <c r="E50" s="97">
        <v>1.3888888888888888E-2</v>
      </c>
      <c r="F50" s="99" t="s">
        <v>644</v>
      </c>
      <c r="G50" s="97">
        <v>1.3888888888888888E-2</v>
      </c>
      <c r="H50" s="97"/>
      <c r="I50" s="14"/>
      <c r="J50" s="14"/>
      <c r="K50" s="14"/>
    </row>
    <row r="51" spans="1:11" ht="25.5" x14ac:dyDescent="0.2">
      <c r="A51" s="13" t="s">
        <v>195</v>
      </c>
      <c r="B51" s="14" t="s">
        <v>536</v>
      </c>
      <c r="C51" s="14" t="s">
        <v>584</v>
      </c>
      <c r="D51" s="95" t="s">
        <v>658</v>
      </c>
      <c r="E51" s="97">
        <v>6.9444444444444441E-3</v>
      </c>
      <c r="F51" s="99" t="s">
        <v>644</v>
      </c>
      <c r="G51" s="97">
        <v>3.472222222222222E-3</v>
      </c>
      <c r="H51" s="14"/>
      <c r="I51" s="14"/>
      <c r="J51" s="14"/>
      <c r="K51" s="14"/>
    </row>
    <row r="52" spans="1:11" ht="25.5" x14ac:dyDescent="0.2">
      <c r="A52" s="13" t="s">
        <v>195</v>
      </c>
      <c r="B52" s="14" t="s">
        <v>536</v>
      </c>
      <c r="C52" s="14" t="s">
        <v>541</v>
      </c>
      <c r="D52" s="95" t="s">
        <v>640</v>
      </c>
      <c r="E52" s="97">
        <v>6.9444444444444441E-3</v>
      </c>
      <c r="F52" s="99" t="s">
        <v>644</v>
      </c>
      <c r="G52" s="97">
        <v>3.472222222222222E-3</v>
      </c>
      <c r="H52" s="14"/>
      <c r="I52" s="14"/>
      <c r="J52" s="14"/>
      <c r="K52" s="14"/>
    </row>
    <row r="53" spans="1:11" ht="25.5" x14ac:dyDescent="0.2">
      <c r="A53" s="13" t="s">
        <v>195</v>
      </c>
      <c r="B53" s="14" t="s">
        <v>536</v>
      </c>
      <c r="C53" s="14" t="s">
        <v>542</v>
      </c>
      <c r="D53" s="95" t="s">
        <v>640</v>
      </c>
      <c r="E53" s="97">
        <v>6.9444444444444441E-3</v>
      </c>
      <c r="F53" s="99" t="s">
        <v>644</v>
      </c>
      <c r="G53" s="97">
        <v>3.472222222222222E-3</v>
      </c>
      <c r="H53" s="14"/>
      <c r="I53" s="14"/>
      <c r="J53" s="14"/>
      <c r="K53" s="14"/>
    </row>
    <row r="54" spans="1:11" x14ac:dyDescent="0.2">
      <c r="A54" s="13" t="s">
        <v>195</v>
      </c>
      <c r="B54" s="105" t="s">
        <v>656</v>
      </c>
      <c r="C54" s="14" t="s">
        <v>585</v>
      </c>
      <c r="D54" s="95" t="s">
        <v>658</v>
      </c>
      <c r="E54" s="97">
        <v>6.9444444444444441E-3</v>
      </c>
      <c r="F54" s="99" t="s">
        <v>644</v>
      </c>
      <c r="G54" s="97">
        <v>6.9444444444444441E-3</v>
      </c>
      <c r="H54" s="97"/>
      <c r="I54" s="14"/>
      <c r="J54" s="14"/>
      <c r="K54" s="14"/>
    </row>
    <row r="55" spans="1:11" x14ac:dyDescent="0.2">
      <c r="A55" s="13" t="s">
        <v>195</v>
      </c>
      <c r="B55" s="101" t="s">
        <v>656</v>
      </c>
      <c r="C55" s="14" t="s">
        <v>586</v>
      </c>
      <c r="D55" s="95" t="s">
        <v>658</v>
      </c>
      <c r="E55" s="97">
        <v>6.9444444444444441E-3</v>
      </c>
      <c r="F55" s="99" t="s">
        <v>644</v>
      </c>
      <c r="G55" s="97">
        <v>6.9444444444444441E-3</v>
      </c>
      <c r="H55" s="97"/>
      <c r="I55" s="14"/>
      <c r="J55" s="14"/>
      <c r="K55" s="14"/>
    </row>
    <row r="56" spans="1:11" ht="25.5" x14ac:dyDescent="0.2">
      <c r="A56" s="13" t="s">
        <v>195</v>
      </c>
      <c r="B56" s="14" t="s">
        <v>536</v>
      </c>
      <c r="C56" s="14" t="s">
        <v>587</v>
      </c>
      <c r="D56" s="95" t="s">
        <v>658</v>
      </c>
      <c r="E56" s="97">
        <v>6.9444444444444441E-3</v>
      </c>
      <c r="F56" s="99" t="s">
        <v>644</v>
      </c>
      <c r="G56" s="97">
        <v>3.472222222222222E-3</v>
      </c>
      <c r="H56" s="14"/>
      <c r="I56" s="14"/>
      <c r="J56" s="14"/>
      <c r="K56" s="14"/>
    </row>
    <row r="57" spans="1:11" x14ac:dyDescent="0.2">
      <c r="A57" s="13" t="s">
        <v>196</v>
      </c>
      <c r="B57" s="25"/>
      <c r="C57" s="25"/>
      <c r="D57" s="94"/>
      <c r="E57" s="94"/>
      <c r="F57" s="25"/>
      <c r="G57" s="25"/>
      <c r="H57" s="25"/>
      <c r="I57" s="25"/>
      <c r="J57" s="25"/>
      <c r="K57" s="25"/>
    </row>
    <row r="58" spans="1:11" ht="25.5" x14ac:dyDescent="0.2">
      <c r="A58" s="13" t="s">
        <v>196</v>
      </c>
      <c r="B58" s="14" t="s">
        <v>544</v>
      </c>
      <c r="C58" s="14" t="s">
        <v>543</v>
      </c>
      <c r="D58" s="95" t="s">
        <v>640</v>
      </c>
      <c r="E58" s="97">
        <v>3.472222222222222E-3</v>
      </c>
      <c r="F58" s="99" t="s">
        <v>644</v>
      </c>
      <c r="G58" s="97">
        <v>6.9444444444444447E-4</v>
      </c>
      <c r="H58" s="97"/>
      <c r="I58" s="14"/>
      <c r="J58" s="14"/>
      <c r="K58" s="14"/>
    </row>
    <row r="59" spans="1:11" ht="25.5" x14ac:dyDescent="0.2">
      <c r="A59" s="13" t="s">
        <v>196</v>
      </c>
      <c r="B59" s="14" t="s">
        <v>544</v>
      </c>
      <c r="C59" s="14" t="s">
        <v>545</v>
      </c>
      <c r="D59" s="95" t="s">
        <v>640</v>
      </c>
      <c r="E59" s="97">
        <v>3.472222222222222E-3</v>
      </c>
      <c r="F59" s="99" t="s">
        <v>644</v>
      </c>
      <c r="G59" s="97">
        <v>6.9444444444444447E-4</v>
      </c>
      <c r="H59" s="97"/>
      <c r="I59" s="14"/>
      <c r="J59" s="14"/>
      <c r="K59" s="14"/>
    </row>
    <row r="60" spans="1:11" ht="25.5" x14ac:dyDescent="0.2">
      <c r="A60" s="13" t="s">
        <v>196</v>
      </c>
      <c r="B60" s="14" t="s">
        <v>544</v>
      </c>
      <c r="C60" s="14" t="s">
        <v>546</v>
      </c>
      <c r="D60" s="95" t="s">
        <v>640</v>
      </c>
      <c r="E60" s="97">
        <v>3.472222222222222E-3</v>
      </c>
      <c r="F60" s="99" t="s">
        <v>644</v>
      </c>
      <c r="G60" s="97">
        <v>6.9444444444444447E-4</v>
      </c>
      <c r="H60" s="97"/>
      <c r="I60" s="14"/>
      <c r="J60" s="14"/>
      <c r="K60" s="14"/>
    </row>
    <row r="61" spans="1:11" ht="63.75" x14ac:dyDescent="0.2">
      <c r="A61" s="13" t="s">
        <v>196</v>
      </c>
      <c r="B61" s="14" t="s">
        <v>544</v>
      </c>
      <c r="C61" s="14" t="s">
        <v>547</v>
      </c>
      <c r="D61" s="95" t="s">
        <v>640</v>
      </c>
      <c r="E61" s="97">
        <v>6.9444444444444441E-3</v>
      </c>
      <c r="F61" s="99" t="s">
        <v>644</v>
      </c>
      <c r="G61" s="97">
        <v>6.9444444444444441E-3</v>
      </c>
      <c r="H61" s="97"/>
      <c r="I61" s="14"/>
      <c r="J61" s="14"/>
      <c r="K61" s="14"/>
    </row>
    <row r="62" spans="1:11" ht="51" x14ac:dyDescent="0.2">
      <c r="A62" s="13" t="s">
        <v>196</v>
      </c>
      <c r="B62" s="14" t="s">
        <v>544</v>
      </c>
      <c r="C62" s="14" t="s">
        <v>548</v>
      </c>
      <c r="D62" s="95" t="s">
        <v>640</v>
      </c>
      <c r="E62" s="97">
        <v>3.472222222222222E-3</v>
      </c>
      <c r="F62" s="107" t="s">
        <v>221</v>
      </c>
      <c r="G62" s="14" t="s">
        <v>666</v>
      </c>
      <c r="H62" s="14"/>
      <c r="I62" s="14"/>
      <c r="J62" s="14"/>
      <c r="K62" s="14"/>
    </row>
    <row r="63" spans="1:11" ht="38.25" x14ac:dyDescent="0.2">
      <c r="A63" s="13" t="s">
        <v>196</v>
      </c>
      <c r="B63" s="105" t="s">
        <v>549</v>
      </c>
      <c r="C63" s="14" t="s">
        <v>667</v>
      </c>
      <c r="D63" s="95" t="s">
        <v>640</v>
      </c>
      <c r="E63" s="97">
        <v>3.472222222222222E-3</v>
      </c>
      <c r="F63" s="108" t="s">
        <v>644</v>
      </c>
      <c r="G63" s="14" t="s">
        <v>666</v>
      </c>
      <c r="H63" s="97" t="s">
        <v>668</v>
      </c>
      <c r="I63" s="14"/>
      <c r="J63" s="14"/>
      <c r="K63" s="14"/>
    </row>
    <row r="64" spans="1:11" ht="127.5" x14ac:dyDescent="0.2">
      <c r="A64" s="13" t="s">
        <v>196</v>
      </c>
      <c r="B64" s="105" t="s">
        <v>549</v>
      </c>
      <c r="C64" s="14" t="s">
        <v>550</v>
      </c>
      <c r="D64" s="95" t="s">
        <v>640</v>
      </c>
      <c r="E64" s="97">
        <v>3.472222222222222E-3</v>
      </c>
      <c r="F64" s="107" t="s">
        <v>221</v>
      </c>
      <c r="G64" s="14" t="s">
        <v>669</v>
      </c>
      <c r="H64" s="14"/>
      <c r="I64" s="14"/>
      <c r="J64" s="14"/>
      <c r="K64" s="14"/>
    </row>
    <row r="65" spans="1:11" ht="25.5" x14ac:dyDescent="0.2">
      <c r="A65" s="13" t="s">
        <v>196</v>
      </c>
      <c r="B65" s="14" t="s">
        <v>544</v>
      </c>
      <c r="C65" s="14" t="s">
        <v>588</v>
      </c>
      <c r="D65" s="95" t="s">
        <v>658</v>
      </c>
      <c r="E65" s="97">
        <v>3.472222222222222E-3</v>
      </c>
      <c r="F65" s="107" t="s">
        <v>221</v>
      </c>
      <c r="G65" s="14"/>
      <c r="H65" s="14"/>
      <c r="I65" s="14"/>
      <c r="J65" s="14"/>
      <c r="K65" s="14"/>
    </row>
    <row r="66" spans="1:11" ht="102" x14ac:dyDescent="0.2">
      <c r="A66" s="13" t="s">
        <v>196</v>
      </c>
      <c r="B66" s="14" t="s">
        <v>544</v>
      </c>
      <c r="C66" s="14" t="s">
        <v>551</v>
      </c>
      <c r="D66" s="95" t="s">
        <v>640</v>
      </c>
      <c r="E66" s="97">
        <v>3.472222222222222E-3</v>
      </c>
      <c r="F66" s="98" t="s">
        <v>641</v>
      </c>
      <c r="G66" s="97">
        <v>3.472222222222222E-3</v>
      </c>
      <c r="H66" s="14" t="s">
        <v>670</v>
      </c>
      <c r="I66" s="14"/>
      <c r="J66" s="14"/>
      <c r="K66" s="14"/>
    </row>
    <row r="67" spans="1:11" ht="25.5" x14ac:dyDescent="0.2">
      <c r="A67" s="13" t="s">
        <v>196</v>
      </c>
      <c r="B67" s="14" t="s">
        <v>544</v>
      </c>
      <c r="C67" s="14" t="s">
        <v>552</v>
      </c>
      <c r="D67" s="95" t="s">
        <v>640</v>
      </c>
      <c r="E67" s="97">
        <v>3.472222222222222E-3</v>
      </c>
      <c r="F67" s="99" t="s">
        <v>644</v>
      </c>
      <c r="G67" s="97">
        <v>3.472222222222222E-3</v>
      </c>
      <c r="H67" s="14" t="s">
        <v>668</v>
      </c>
      <c r="I67" s="14"/>
      <c r="J67" s="14"/>
      <c r="K67" s="14"/>
    </row>
    <row r="68" spans="1:11" ht="38.25" x14ac:dyDescent="0.2">
      <c r="A68" s="13" t="s">
        <v>196</v>
      </c>
      <c r="B68" s="14" t="s">
        <v>544</v>
      </c>
      <c r="C68" s="14" t="s">
        <v>589</v>
      </c>
      <c r="D68" s="95" t="s">
        <v>658</v>
      </c>
      <c r="E68" s="97">
        <v>3.472222222222222E-3</v>
      </c>
      <c r="F68" s="99" t="s">
        <v>644</v>
      </c>
      <c r="G68" s="97">
        <v>3.472222222222222E-3</v>
      </c>
      <c r="H68" s="14"/>
      <c r="I68" s="14"/>
      <c r="J68" s="14"/>
      <c r="K68" s="14"/>
    </row>
    <row r="69" spans="1:11" ht="76.5" x14ac:dyDescent="0.2">
      <c r="A69" s="13" t="s">
        <v>196</v>
      </c>
      <c r="B69" s="14" t="s">
        <v>544</v>
      </c>
      <c r="C69" s="14" t="s">
        <v>553</v>
      </c>
      <c r="D69" s="95" t="s">
        <v>640</v>
      </c>
      <c r="E69" s="97">
        <v>3.472222222222222E-3</v>
      </c>
      <c r="F69" s="98" t="s">
        <v>641</v>
      </c>
      <c r="G69" s="97">
        <v>3.472222222222222E-3</v>
      </c>
      <c r="H69" s="14" t="s">
        <v>671</v>
      </c>
      <c r="I69" s="14"/>
      <c r="J69" s="14"/>
      <c r="K69" s="14"/>
    </row>
    <row r="70" spans="1:11" ht="25.5" x14ac:dyDescent="0.2">
      <c r="A70" s="13" t="s">
        <v>196</v>
      </c>
      <c r="B70" s="14" t="s">
        <v>544</v>
      </c>
      <c r="C70" s="14" t="s">
        <v>554</v>
      </c>
      <c r="D70" s="95" t="s">
        <v>640</v>
      </c>
      <c r="E70" s="97">
        <v>6.9444444444444447E-4</v>
      </c>
      <c r="F70" s="99" t="s">
        <v>644</v>
      </c>
      <c r="G70" s="97">
        <v>6.9444444444444447E-4</v>
      </c>
      <c r="H70" s="97"/>
      <c r="I70" s="14"/>
      <c r="J70" s="14"/>
      <c r="K70" s="14"/>
    </row>
    <row r="71" spans="1:11" ht="25.5" x14ac:dyDescent="0.2">
      <c r="A71" s="13" t="s">
        <v>196</v>
      </c>
      <c r="B71" s="14" t="s">
        <v>544</v>
      </c>
      <c r="C71" s="14" t="s">
        <v>555</v>
      </c>
      <c r="D71" s="95" t="s">
        <v>640</v>
      </c>
      <c r="E71" s="97">
        <v>3.472222222222222E-3</v>
      </c>
      <c r="F71" s="99" t="s">
        <v>644</v>
      </c>
      <c r="G71" s="97">
        <v>1.3888888888888889E-3</v>
      </c>
      <c r="H71" s="97"/>
      <c r="I71" s="14"/>
      <c r="J71" s="14"/>
      <c r="K71" s="14"/>
    </row>
    <row r="72" spans="1:11" ht="25.5" x14ac:dyDescent="0.2">
      <c r="A72" s="13" t="s">
        <v>196</v>
      </c>
      <c r="B72" s="14" t="s">
        <v>544</v>
      </c>
      <c r="C72" s="14" t="s">
        <v>556</v>
      </c>
      <c r="D72" s="95" t="s">
        <v>640</v>
      </c>
      <c r="E72" s="97">
        <v>3.472222222222222E-3</v>
      </c>
      <c r="F72" s="99" t="s">
        <v>644</v>
      </c>
      <c r="G72" s="97">
        <v>1.3888888888888889E-3</v>
      </c>
      <c r="H72" s="97"/>
      <c r="I72" s="14"/>
      <c r="J72" s="14"/>
      <c r="K72" s="14"/>
    </row>
    <row r="73" spans="1:11" ht="51" x14ac:dyDescent="0.2">
      <c r="A73" s="13" t="s">
        <v>196</v>
      </c>
      <c r="B73" s="14" t="s">
        <v>544</v>
      </c>
      <c r="C73" s="14" t="s">
        <v>557</v>
      </c>
      <c r="D73" s="95" t="s">
        <v>640</v>
      </c>
      <c r="E73" s="97">
        <v>3.472222222222222E-3</v>
      </c>
      <c r="F73" s="99" t="s">
        <v>644</v>
      </c>
      <c r="G73" s="97">
        <v>3.472222222222222E-3</v>
      </c>
      <c r="H73" s="97"/>
      <c r="I73" s="14"/>
      <c r="J73" s="14"/>
      <c r="K73" s="14"/>
    </row>
    <row r="74" spans="1:11" ht="25.5" x14ac:dyDescent="0.2">
      <c r="A74" s="13" t="s">
        <v>196</v>
      </c>
      <c r="B74" s="105" t="s">
        <v>549</v>
      </c>
      <c r="C74" s="14" t="s">
        <v>558</v>
      </c>
      <c r="D74" s="95" t="s">
        <v>640</v>
      </c>
      <c r="E74" s="97">
        <v>3.472222222222222E-3</v>
      </c>
      <c r="F74" s="108" t="s">
        <v>644</v>
      </c>
      <c r="G74" s="97">
        <v>3.472222222222222E-3</v>
      </c>
      <c r="H74" s="14"/>
      <c r="I74" s="14"/>
      <c r="J74" s="14"/>
      <c r="K74" s="14"/>
    </row>
    <row r="75" spans="1:11" ht="25.5" x14ac:dyDescent="0.2">
      <c r="A75" s="13" t="s">
        <v>196</v>
      </c>
      <c r="B75" s="14" t="s">
        <v>544</v>
      </c>
      <c r="C75" s="14" t="s">
        <v>590</v>
      </c>
      <c r="D75" s="95" t="s">
        <v>658</v>
      </c>
      <c r="E75" s="97">
        <v>3.472222222222222E-3</v>
      </c>
      <c r="F75" s="99" t="s">
        <v>644</v>
      </c>
      <c r="G75" s="97">
        <v>3.472222222222222E-3</v>
      </c>
      <c r="H75" s="97"/>
      <c r="I75" s="14"/>
      <c r="J75" s="14"/>
      <c r="K75" s="14"/>
    </row>
    <row r="76" spans="1:11" ht="51" x14ac:dyDescent="0.2">
      <c r="A76" s="13" t="s">
        <v>196</v>
      </c>
      <c r="B76" s="14" t="s">
        <v>544</v>
      </c>
      <c r="C76" s="14" t="s">
        <v>591</v>
      </c>
      <c r="D76" s="95" t="s">
        <v>658</v>
      </c>
      <c r="E76" s="97">
        <v>3.472222222222222E-3</v>
      </c>
      <c r="F76" s="98" t="s">
        <v>641</v>
      </c>
      <c r="G76" s="97">
        <v>3.472222222222222E-3</v>
      </c>
      <c r="H76" s="97" t="s">
        <v>672</v>
      </c>
      <c r="I76" s="14"/>
      <c r="J76" s="14"/>
      <c r="K76" s="14"/>
    </row>
    <row r="77" spans="1:11" ht="25.5" x14ac:dyDescent="0.2">
      <c r="A77" s="13" t="s">
        <v>196</v>
      </c>
      <c r="B77" s="14" t="s">
        <v>544</v>
      </c>
      <c r="C77" s="14" t="s">
        <v>592</v>
      </c>
      <c r="D77" s="95" t="s">
        <v>658</v>
      </c>
      <c r="E77" s="97">
        <v>3.472222222222222E-3</v>
      </c>
      <c r="F77" s="99" t="s">
        <v>644</v>
      </c>
      <c r="G77" s="97">
        <v>3.472222222222222E-3</v>
      </c>
      <c r="H77" s="14"/>
      <c r="I77" s="14"/>
      <c r="J77" s="14"/>
      <c r="K77" s="14"/>
    </row>
    <row r="78" spans="1:11" x14ac:dyDescent="0.2">
      <c r="A78" s="13" t="s">
        <v>559</v>
      </c>
      <c r="B78" s="25"/>
      <c r="C78" s="25"/>
      <c r="D78" s="94"/>
      <c r="E78" s="94"/>
      <c r="F78" s="25"/>
      <c r="G78" s="25"/>
      <c r="H78" s="25"/>
      <c r="I78" s="25"/>
      <c r="J78" s="25"/>
      <c r="K78" s="25"/>
    </row>
    <row r="79" spans="1:11" x14ac:dyDescent="0.2">
      <c r="A79" s="13" t="s">
        <v>559</v>
      </c>
      <c r="B79" s="14" t="s">
        <v>561</v>
      </c>
      <c r="C79" s="14" t="s">
        <v>593</v>
      </c>
      <c r="D79" s="95" t="s">
        <v>658</v>
      </c>
      <c r="E79" s="97">
        <v>1.3888888888888888E-2</v>
      </c>
      <c r="F79" s="99" t="s">
        <v>644</v>
      </c>
      <c r="G79" s="89">
        <v>3.472222222222222E-3</v>
      </c>
      <c r="H79" s="14"/>
      <c r="I79" s="14"/>
      <c r="J79" s="14"/>
      <c r="K79" s="14"/>
    </row>
    <row r="80" spans="1:11" x14ac:dyDescent="0.2">
      <c r="A80" s="13" t="s">
        <v>559</v>
      </c>
      <c r="B80" s="14" t="s">
        <v>561</v>
      </c>
      <c r="C80" s="14" t="s">
        <v>594</v>
      </c>
      <c r="D80" s="95" t="s">
        <v>658</v>
      </c>
      <c r="E80" s="97">
        <v>1.0416666666666666E-2</v>
      </c>
      <c r="F80" s="99" t="s">
        <v>644</v>
      </c>
      <c r="G80" s="89">
        <v>6.9444444444444441E-3</v>
      </c>
      <c r="H80" s="14"/>
      <c r="I80" s="14"/>
      <c r="J80" s="14"/>
      <c r="K80" s="14"/>
    </row>
    <row r="81" spans="1:11" x14ac:dyDescent="0.2">
      <c r="A81" s="13" t="s">
        <v>559</v>
      </c>
      <c r="B81" s="14" t="s">
        <v>561</v>
      </c>
      <c r="C81" s="14" t="s">
        <v>595</v>
      </c>
      <c r="D81" s="95" t="s">
        <v>658</v>
      </c>
      <c r="E81" s="97">
        <v>3.472222222222222E-3</v>
      </c>
      <c r="F81" s="99" t="s">
        <v>644</v>
      </c>
      <c r="G81" s="89">
        <v>1.3888888888888889E-3</v>
      </c>
      <c r="H81" s="14"/>
      <c r="I81" s="14"/>
      <c r="J81" s="14"/>
      <c r="K81" s="14"/>
    </row>
    <row r="82" spans="1:11" x14ac:dyDescent="0.2">
      <c r="A82" s="13" t="s">
        <v>559</v>
      </c>
      <c r="B82" s="14" t="s">
        <v>561</v>
      </c>
      <c r="C82" s="14" t="s">
        <v>596</v>
      </c>
      <c r="D82" s="95" t="s">
        <v>658</v>
      </c>
      <c r="E82" s="97">
        <v>3.472222222222222E-3</v>
      </c>
      <c r="F82" s="99" t="s">
        <v>644</v>
      </c>
      <c r="G82" s="89">
        <v>2.0833333333333333E-3</v>
      </c>
      <c r="H82" s="14"/>
      <c r="I82" s="14"/>
      <c r="J82" s="14"/>
      <c r="K82" s="14"/>
    </row>
    <row r="83" spans="1:11" x14ac:dyDescent="0.2">
      <c r="A83" s="13" t="s">
        <v>559</v>
      </c>
      <c r="B83" s="14" t="s">
        <v>561</v>
      </c>
      <c r="C83" s="14" t="s">
        <v>597</v>
      </c>
      <c r="D83" s="95" t="s">
        <v>658</v>
      </c>
      <c r="E83" s="97">
        <v>3.472222222222222E-3</v>
      </c>
      <c r="F83" s="99" t="s">
        <v>644</v>
      </c>
      <c r="G83" s="33">
        <v>4.0509259259259258E-4</v>
      </c>
      <c r="H83" s="14"/>
      <c r="I83" s="14"/>
      <c r="J83" s="14"/>
      <c r="K83" s="14"/>
    </row>
    <row r="84" spans="1:11" x14ac:dyDescent="0.2">
      <c r="A84" s="13" t="s">
        <v>559</v>
      </c>
      <c r="B84" s="14" t="s">
        <v>561</v>
      </c>
      <c r="C84" s="14" t="s">
        <v>598</v>
      </c>
      <c r="D84" s="95" t="s">
        <v>658</v>
      </c>
      <c r="E84" s="97">
        <v>3.472222222222222E-3</v>
      </c>
      <c r="F84" s="99" t="s">
        <v>644</v>
      </c>
      <c r="G84" s="89">
        <v>3.472222222222222E-3</v>
      </c>
      <c r="H84" s="14"/>
      <c r="I84" s="14"/>
      <c r="J84" s="14"/>
      <c r="K84" s="14"/>
    </row>
    <row r="85" spans="1:11" x14ac:dyDescent="0.2">
      <c r="A85" s="13" t="s">
        <v>559</v>
      </c>
      <c r="B85" s="14" t="s">
        <v>561</v>
      </c>
      <c r="C85" s="14" t="s">
        <v>599</v>
      </c>
      <c r="D85" s="95" t="s">
        <v>658</v>
      </c>
      <c r="E85" s="97">
        <v>3.472222222222222E-3</v>
      </c>
      <c r="F85" s="99" t="s">
        <v>644</v>
      </c>
      <c r="G85" s="89">
        <v>1.3888888888888889E-3</v>
      </c>
      <c r="H85" s="14"/>
      <c r="I85" s="14"/>
      <c r="J85" s="14"/>
      <c r="K85" s="14"/>
    </row>
    <row r="86" spans="1:11" x14ac:dyDescent="0.2">
      <c r="A86" s="13" t="s">
        <v>559</v>
      </c>
      <c r="B86" s="14" t="s">
        <v>561</v>
      </c>
      <c r="C86" s="14" t="s">
        <v>600</v>
      </c>
      <c r="D86" s="95" t="s">
        <v>658</v>
      </c>
      <c r="E86" s="97">
        <v>6.9444444444444441E-3</v>
      </c>
      <c r="F86" s="99" t="s">
        <v>644</v>
      </c>
      <c r="G86" s="89">
        <v>1.3888888888888889E-3</v>
      </c>
      <c r="H86" s="14"/>
      <c r="I86" s="14"/>
      <c r="J86" s="14"/>
      <c r="K86" s="14"/>
    </row>
    <row r="87" spans="1:11" x14ac:dyDescent="0.2">
      <c r="A87" s="13" t="s">
        <v>559</v>
      </c>
      <c r="B87" s="14" t="s">
        <v>561</v>
      </c>
      <c r="C87" s="14" t="s">
        <v>601</v>
      </c>
      <c r="D87" s="95" t="s">
        <v>658</v>
      </c>
      <c r="E87" s="97">
        <v>3.472222222222222E-3</v>
      </c>
      <c r="F87" s="99" t="s">
        <v>644</v>
      </c>
      <c r="G87" s="33">
        <v>2.3148148148148146E-4</v>
      </c>
      <c r="H87" s="14"/>
      <c r="I87" s="14"/>
      <c r="J87" s="14"/>
      <c r="K87" s="14"/>
    </row>
    <row r="88" spans="1:11" x14ac:dyDescent="0.2">
      <c r="A88" s="13" t="s">
        <v>559</v>
      </c>
      <c r="B88" s="14" t="s">
        <v>561</v>
      </c>
      <c r="C88" s="14" t="s">
        <v>602</v>
      </c>
      <c r="D88" s="95" t="s">
        <v>658</v>
      </c>
      <c r="E88" s="97">
        <v>6.9444444444444441E-3</v>
      </c>
      <c r="F88" s="99" t="s">
        <v>644</v>
      </c>
      <c r="G88" s="89">
        <v>6.9444444444444447E-4</v>
      </c>
      <c r="H88" s="14"/>
      <c r="I88" s="14"/>
      <c r="J88" s="14"/>
      <c r="K88" s="14"/>
    </row>
    <row r="89" spans="1:11" ht="76.5" x14ac:dyDescent="0.2">
      <c r="A89" s="13" t="s">
        <v>559</v>
      </c>
      <c r="B89" s="14" t="s">
        <v>561</v>
      </c>
      <c r="C89" s="14" t="s">
        <v>700</v>
      </c>
      <c r="D89" s="95" t="s">
        <v>658</v>
      </c>
      <c r="E89" s="97">
        <v>6.9444444444444441E-3</v>
      </c>
      <c r="F89" s="14" t="s">
        <v>156</v>
      </c>
      <c r="G89" s="14" t="s">
        <v>701</v>
      </c>
      <c r="H89" s="14"/>
      <c r="I89" s="14"/>
      <c r="J89" s="14"/>
      <c r="K89" s="14"/>
    </row>
    <row r="90" spans="1:11" x14ac:dyDescent="0.2">
      <c r="A90" s="13" t="s">
        <v>559</v>
      </c>
      <c r="B90" s="14" t="s">
        <v>561</v>
      </c>
      <c r="C90" s="14" t="s">
        <v>603</v>
      </c>
      <c r="D90" s="95" t="s">
        <v>658</v>
      </c>
      <c r="E90" s="97">
        <v>3.472222222222222E-3</v>
      </c>
      <c r="F90" s="99" t="s">
        <v>644</v>
      </c>
      <c r="G90" s="33">
        <v>1.7361111111111112E-4</v>
      </c>
      <c r="H90" s="14"/>
      <c r="I90" s="14"/>
      <c r="J90" s="14"/>
      <c r="K90" s="14"/>
    </row>
    <row r="91" spans="1:11" x14ac:dyDescent="0.2">
      <c r="A91" s="13" t="s">
        <v>559</v>
      </c>
      <c r="B91" s="14" t="s">
        <v>561</v>
      </c>
      <c r="C91" s="14" t="s">
        <v>604</v>
      </c>
      <c r="D91" s="95" t="s">
        <v>658</v>
      </c>
      <c r="E91" s="97">
        <v>3.472222222222222E-3</v>
      </c>
      <c r="F91" s="99" t="s">
        <v>644</v>
      </c>
      <c r="G91" s="33">
        <v>2.3148148148148146E-4</v>
      </c>
      <c r="H91" s="14"/>
      <c r="I91" s="14"/>
      <c r="J91" s="14"/>
      <c r="K91" s="14"/>
    </row>
    <row r="92" spans="1:11" x14ac:dyDescent="0.2">
      <c r="A92" s="13" t="s">
        <v>559</v>
      </c>
      <c r="B92" s="14" t="s">
        <v>561</v>
      </c>
      <c r="C92" s="14" t="s">
        <v>605</v>
      </c>
      <c r="D92" s="95" t="s">
        <v>658</v>
      </c>
      <c r="E92" s="97">
        <v>3.472222222222222E-3</v>
      </c>
      <c r="F92" s="99" t="s">
        <v>644</v>
      </c>
      <c r="G92" s="89">
        <v>2.0833333333333333E-3</v>
      </c>
      <c r="H92" s="14"/>
      <c r="I92" s="14"/>
      <c r="J92" s="14"/>
      <c r="K92" s="14"/>
    </row>
    <row r="93" spans="1:11" x14ac:dyDescent="0.2">
      <c r="A93" s="13" t="s">
        <v>559</v>
      </c>
      <c r="B93" s="14" t="s">
        <v>561</v>
      </c>
      <c r="C93" s="14" t="s">
        <v>606</v>
      </c>
      <c r="D93" s="95" t="s">
        <v>658</v>
      </c>
      <c r="E93" s="97">
        <v>3.472222222222222E-3</v>
      </c>
      <c r="F93" s="99" t="s">
        <v>644</v>
      </c>
      <c r="G93" s="33">
        <v>2.3148148148148146E-4</v>
      </c>
      <c r="H93" s="14"/>
      <c r="I93" s="14"/>
      <c r="J93" s="14"/>
      <c r="K93" s="14"/>
    </row>
    <row r="94" spans="1:11" x14ac:dyDescent="0.2">
      <c r="A94" s="13" t="s">
        <v>559</v>
      </c>
      <c r="B94" s="14" t="s">
        <v>561</v>
      </c>
      <c r="C94" s="14" t="s">
        <v>607</v>
      </c>
      <c r="D94" s="95" t="s">
        <v>658</v>
      </c>
      <c r="E94" s="97">
        <v>3.472222222222222E-3</v>
      </c>
      <c r="F94" s="99" t="s">
        <v>644</v>
      </c>
      <c r="G94" s="33">
        <v>2.3148148148148146E-4</v>
      </c>
      <c r="H94" s="14"/>
      <c r="I94" s="14"/>
      <c r="J94" s="14"/>
      <c r="K94" s="14"/>
    </row>
    <row r="95" spans="1:11" x14ac:dyDescent="0.2">
      <c r="A95" s="13" t="s">
        <v>559</v>
      </c>
      <c r="B95" s="14" t="s">
        <v>561</v>
      </c>
      <c r="C95" s="14" t="s">
        <v>608</v>
      </c>
      <c r="D95" s="95" t="s">
        <v>658</v>
      </c>
      <c r="E95" s="97">
        <v>3.472222222222222E-3</v>
      </c>
      <c r="F95" s="99" t="s">
        <v>644</v>
      </c>
      <c r="G95" s="33">
        <v>2.3148148148148147E-5</v>
      </c>
      <c r="H95" s="14"/>
      <c r="I95" s="14"/>
      <c r="J95" s="14"/>
      <c r="K95" s="14"/>
    </row>
    <row r="96" spans="1:11" x14ac:dyDescent="0.2">
      <c r="A96" s="13" t="s">
        <v>559</v>
      </c>
      <c r="B96" s="14" t="s">
        <v>561</v>
      </c>
      <c r="C96" s="14" t="s">
        <v>609</v>
      </c>
      <c r="D96" s="95" t="s">
        <v>658</v>
      </c>
      <c r="E96" s="97">
        <v>1.3888888888888889E-3</v>
      </c>
      <c r="F96" s="99" t="s">
        <v>644</v>
      </c>
      <c r="G96" s="33">
        <v>5.7870370370370366E-5</v>
      </c>
      <c r="H96" s="14"/>
      <c r="I96" s="14"/>
      <c r="J96" s="14"/>
      <c r="K96" s="14"/>
    </row>
    <row r="97" spans="1:11" x14ac:dyDescent="0.2">
      <c r="A97" s="13" t="s">
        <v>559</v>
      </c>
      <c r="B97" s="14" t="s">
        <v>561</v>
      </c>
      <c r="C97" s="14" t="s">
        <v>560</v>
      </c>
      <c r="D97" s="95" t="s">
        <v>640</v>
      </c>
      <c r="E97" s="97">
        <v>6.9444444444444441E-3</v>
      </c>
      <c r="F97" s="99" t="s">
        <v>644</v>
      </c>
      <c r="G97" s="33">
        <v>1.3888888888888889E-3</v>
      </c>
      <c r="H97" s="14"/>
      <c r="I97" s="14"/>
      <c r="J97" s="14"/>
      <c r="K97" s="14"/>
    </row>
    <row r="98" spans="1:11" x14ac:dyDescent="0.2">
      <c r="A98" s="13" t="s">
        <v>559</v>
      </c>
      <c r="B98" s="14" t="s">
        <v>561</v>
      </c>
      <c r="C98" s="14" t="s">
        <v>562</v>
      </c>
      <c r="D98" s="95" t="s">
        <v>640</v>
      </c>
      <c r="E98" s="97">
        <v>6.9444444444444441E-3</v>
      </c>
      <c r="F98" s="99" t="s">
        <v>644</v>
      </c>
      <c r="G98" s="89">
        <v>1.3888888888888889E-3</v>
      </c>
      <c r="H98" s="14"/>
      <c r="I98" s="14"/>
      <c r="J98" s="14"/>
      <c r="K98" s="14"/>
    </row>
    <row r="99" spans="1:11" x14ac:dyDescent="0.2">
      <c r="A99" s="13" t="s">
        <v>559</v>
      </c>
      <c r="B99" s="14" t="s">
        <v>561</v>
      </c>
      <c r="C99" s="14" t="s">
        <v>563</v>
      </c>
      <c r="D99" s="95" t="s">
        <v>640</v>
      </c>
      <c r="E99" s="97">
        <v>6.9444444444444441E-3</v>
      </c>
      <c r="F99" s="98" t="s">
        <v>641</v>
      </c>
      <c r="G99" s="113" t="s">
        <v>702</v>
      </c>
      <c r="H99" s="14"/>
      <c r="I99" s="14"/>
      <c r="J99" s="14"/>
      <c r="K99" s="14"/>
    </row>
    <row r="100" spans="1:11" ht="127.5" x14ac:dyDescent="0.2">
      <c r="A100" s="13" t="s">
        <v>559</v>
      </c>
      <c r="B100" s="14" t="s">
        <v>561</v>
      </c>
      <c r="C100" s="14" t="s">
        <v>564</v>
      </c>
      <c r="D100" s="95" t="s">
        <v>640</v>
      </c>
      <c r="E100" s="97">
        <v>6.9444444444444441E-3</v>
      </c>
      <c r="F100" s="98" t="s">
        <v>641</v>
      </c>
      <c r="G100" s="14" t="s">
        <v>703</v>
      </c>
      <c r="H100" s="14"/>
      <c r="I100" s="14"/>
      <c r="J100" s="14"/>
      <c r="K100" s="14"/>
    </row>
    <row r="101" spans="1:11" ht="76.5" x14ac:dyDescent="0.2">
      <c r="A101" s="13" t="s">
        <v>559</v>
      </c>
      <c r="B101" s="14" t="s">
        <v>561</v>
      </c>
      <c r="C101" s="14" t="s">
        <v>565</v>
      </c>
      <c r="D101" s="95" t="s">
        <v>640</v>
      </c>
      <c r="E101" s="97">
        <v>6.9444444444444441E-3</v>
      </c>
      <c r="F101" s="14" t="s">
        <v>156</v>
      </c>
      <c r="G101" s="14" t="s">
        <v>704</v>
      </c>
      <c r="H101" s="14"/>
      <c r="I101" s="14"/>
      <c r="J101" s="14"/>
      <c r="K101" s="14"/>
    </row>
    <row r="102" spans="1:11" x14ac:dyDescent="0.2">
      <c r="A102" s="13" t="s">
        <v>559</v>
      </c>
      <c r="B102" s="14" t="s">
        <v>561</v>
      </c>
      <c r="C102" s="14" t="s">
        <v>566</v>
      </c>
      <c r="D102" s="95" t="s">
        <v>640</v>
      </c>
      <c r="E102" s="97">
        <v>6.9444444444444441E-3</v>
      </c>
      <c r="F102" s="14" t="s">
        <v>156</v>
      </c>
      <c r="G102" s="14" t="s">
        <v>705</v>
      </c>
      <c r="H102" s="14"/>
      <c r="I102" s="14"/>
      <c r="J102" s="14"/>
      <c r="K102" s="14"/>
    </row>
    <row r="103" spans="1:11" x14ac:dyDescent="0.2">
      <c r="A103" s="13" t="s">
        <v>559</v>
      </c>
      <c r="B103" s="14" t="s">
        <v>561</v>
      </c>
      <c r="C103" s="14" t="s">
        <v>567</v>
      </c>
      <c r="D103" s="95" t="s">
        <v>640</v>
      </c>
      <c r="E103" s="97">
        <v>6.9444444444444441E-3</v>
      </c>
      <c r="F103" s="14" t="s">
        <v>156</v>
      </c>
      <c r="G103" s="14" t="s">
        <v>705</v>
      </c>
      <c r="H103" s="14"/>
      <c r="I103" s="14"/>
      <c r="J103" s="14"/>
      <c r="K103" s="14"/>
    </row>
    <row r="104" spans="1:11" ht="25.5" x14ac:dyDescent="0.2">
      <c r="A104" s="13" t="s">
        <v>559</v>
      </c>
      <c r="B104" s="14" t="s">
        <v>569</v>
      </c>
      <c r="C104" s="14" t="s">
        <v>610</v>
      </c>
      <c r="D104" s="95" t="s">
        <v>658</v>
      </c>
      <c r="E104" s="97">
        <v>1.0416666666666666E-2</v>
      </c>
      <c r="F104" s="99" t="s">
        <v>644</v>
      </c>
      <c r="G104" s="89">
        <v>6.9444444444444441E-3</v>
      </c>
      <c r="H104" s="14"/>
      <c r="I104" s="14"/>
      <c r="J104" s="14"/>
      <c r="K104" s="14"/>
    </row>
    <row r="105" spans="1:11" ht="25.5" x14ac:dyDescent="0.2">
      <c r="A105" s="13" t="s">
        <v>559</v>
      </c>
      <c r="B105" s="80" t="s">
        <v>569</v>
      </c>
      <c r="C105" s="80" t="s">
        <v>611</v>
      </c>
      <c r="D105" s="95" t="s">
        <v>658</v>
      </c>
      <c r="E105" s="97">
        <v>3.472222222222222E-3</v>
      </c>
      <c r="F105" s="99" t="s">
        <v>644</v>
      </c>
      <c r="G105" s="89">
        <v>1.3888888888888889E-3</v>
      </c>
      <c r="H105" s="14"/>
      <c r="I105" s="14"/>
      <c r="J105" s="14"/>
      <c r="K105" s="14"/>
    </row>
    <row r="106" spans="1:11" x14ac:dyDescent="0.2">
      <c r="A106" s="13" t="s">
        <v>197</v>
      </c>
      <c r="B106" s="25"/>
      <c r="C106" s="25"/>
      <c r="D106" s="94"/>
      <c r="E106" s="94"/>
      <c r="F106" s="25"/>
      <c r="G106" s="25"/>
      <c r="H106" s="25"/>
      <c r="I106" s="25"/>
      <c r="J106" s="25"/>
      <c r="K106" s="25"/>
    </row>
    <row r="107" spans="1:11" ht="63.75" x14ac:dyDescent="0.2">
      <c r="A107" s="13" t="s">
        <v>197</v>
      </c>
      <c r="B107" s="80" t="s">
        <v>569</v>
      </c>
      <c r="C107" s="14" t="s">
        <v>612</v>
      </c>
      <c r="D107" s="95" t="s">
        <v>658</v>
      </c>
      <c r="E107" s="97">
        <v>1.3888888888888888E-2</v>
      </c>
      <c r="F107" s="99" t="s">
        <v>644</v>
      </c>
      <c r="G107" s="89" t="s">
        <v>706</v>
      </c>
      <c r="H107" s="89"/>
      <c r="I107" s="14"/>
      <c r="J107" s="14"/>
      <c r="K107" s="14"/>
    </row>
    <row r="108" spans="1:11" ht="38.25" x14ac:dyDescent="0.2">
      <c r="A108" s="13" t="s">
        <v>197</v>
      </c>
      <c r="B108" s="80" t="s">
        <v>569</v>
      </c>
      <c r="C108" s="14" t="s">
        <v>568</v>
      </c>
      <c r="D108" s="95" t="s">
        <v>640</v>
      </c>
      <c r="E108" s="97">
        <v>1.0416666666666666E-2</v>
      </c>
      <c r="F108" s="14" t="s">
        <v>156</v>
      </c>
      <c r="G108" s="14" t="s">
        <v>707</v>
      </c>
      <c r="H108" s="14"/>
      <c r="I108" s="14"/>
      <c r="J108" s="14"/>
      <c r="K108" s="14"/>
    </row>
    <row r="109" spans="1:11" ht="38.25" x14ac:dyDescent="0.2">
      <c r="A109" s="13" t="s">
        <v>197</v>
      </c>
      <c r="B109" s="80" t="s">
        <v>569</v>
      </c>
      <c r="C109" s="14" t="s">
        <v>570</v>
      </c>
      <c r="D109" s="95" t="s">
        <v>640</v>
      </c>
      <c r="E109" s="97">
        <v>6.9444444444444441E-3</v>
      </c>
      <c r="F109" s="14" t="s">
        <v>156</v>
      </c>
      <c r="G109" s="14" t="s">
        <v>707</v>
      </c>
      <c r="H109" s="14"/>
      <c r="I109" s="14"/>
      <c r="J109" s="14"/>
      <c r="K109" s="14"/>
    </row>
    <row r="110" spans="1:11" ht="25.5" x14ac:dyDescent="0.2">
      <c r="A110" s="13" t="s">
        <v>197</v>
      </c>
      <c r="B110" s="80" t="s">
        <v>569</v>
      </c>
      <c r="C110" s="14" t="s">
        <v>613</v>
      </c>
      <c r="D110" s="95" t="s">
        <v>658</v>
      </c>
      <c r="E110" s="97">
        <v>1.3888888888888888E-2</v>
      </c>
      <c r="F110" s="99" t="s">
        <v>644</v>
      </c>
      <c r="G110" s="89">
        <v>6.9444444444444441E-3</v>
      </c>
      <c r="H110" s="89"/>
      <c r="I110" s="14"/>
      <c r="J110" s="14"/>
      <c r="K110" s="14"/>
    </row>
    <row r="111" spans="1:11" ht="25.5" x14ac:dyDescent="0.2">
      <c r="A111" s="13" t="s">
        <v>197</v>
      </c>
      <c r="B111" s="80" t="s">
        <v>569</v>
      </c>
      <c r="C111" s="14" t="s">
        <v>673</v>
      </c>
      <c r="D111" s="95" t="s">
        <v>658</v>
      </c>
      <c r="E111" s="97">
        <v>3.472222222222222E-3</v>
      </c>
      <c r="F111" s="99" t="s">
        <v>644</v>
      </c>
      <c r="G111" s="89">
        <v>6.9444444444444447E-4</v>
      </c>
      <c r="H111" s="89"/>
      <c r="I111" s="14"/>
      <c r="J111" s="14"/>
      <c r="K111" s="14"/>
    </row>
    <row r="112" spans="1:11" ht="25.5" x14ac:dyDescent="0.2">
      <c r="A112" s="13" t="s">
        <v>197</v>
      </c>
      <c r="B112" s="14" t="s">
        <v>615</v>
      </c>
      <c r="C112" s="14" t="s">
        <v>614</v>
      </c>
      <c r="D112" s="95" t="s">
        <v>658</v>
      </c>
      <c r="E112" s="97">
        <v>1.0416666666666666E-2</v>
      </c>
      <c r="F112" s="99" t="s">
        <v>644</v>
      </c>
      <c r="G112" s="14"/>
      <c r="H112" s="14"/>
      <c r="I112" s="14"/>
      <c r="J112" s="14"/>
      <c r="K112" s="14"/>
    </row>
    <row r="113" spans="1:11" ht="25.5" x14ac:dyDescent="0.2">
      <c r="A113" s="13" t="s">
        <v>197</v>
      </c>
      <c r="B113" s="14" t="s">
        <v>615</v>
      </c>
      <c r="C113" s="14" t="s">
        <v>616</v>
      </c>
      <c r="D113" s="95" t="s">
        <v>658</v>
      </c>
      <c r="E113" s="97">
        <v>1.0416666666666666E-2</v>
      </c>
      <c r="F113" s="99" t="s">
        <v>644</v>
      </c>
      <c r="G113" s="14"/>
      <c r="H113" s="14"/>
      <c r="I113" s="14"/>
      <c r="J113" s="14"/>
      <c r="K113" s="14"/>
    </row>
    <row r="114" spans="1:11" ht="25.5" x14ac:dyDescent="0.2">
      <c r="A114" s="13" t="s">
        <v>197</v>
      </c>
      <c r="B114" s="14" t="s">
        <v>615</v>
      </c>
      <c r="C114" s="14" t="s">
        <v>617</v>
      </c>
      <c r="D114" s="95" t="s">
        <v>658</v>
      </c>
      <c r="E114" s="97">
        <v>1.0416666666666666E-2</v>
      </c>
      <c r="F114" s="99" t="s">
        <v>644</v>
      </c>
      <c r="G114" s="14"/>
      <c r="H114" s="14"/>
      <c r="I114" s="14"/>
      <c r="J114" s="14"/>
      <c r="K114" s="14"/>
    </row>
    <row r="115" spans="1:11" ht="38.25" x14ac:dyDescent="0.2">
      <c r="A115" s="13" t="s">
        <v>197</v>
      </c>
      <c r="B115" s="14" t="s">
        <v>615</v>
      </c>
      <c r="C115" s="14" t="s">
        <v>618</v>
      </c>
      <c r="D115" s="95" t="s">
        <v>658</v>
      </c>
      <c r="E115" s="97">
        <v>2.0833333333333332E-2</v>
      </c>
      <c r="F115" s="99" t="s">
        <v>644</v>
      </c>
      <c r="G115" s="14" t="s">
        <v>708</v>
      </c>
      <c r="H115" s="14"/>
      <c r="I115" s="14"/>
      <c r="J115" s="14"/>
      <c r="K115" s="14"/>
    </row>
    <row r="116" spans="1:11" x14ac:dyDescent="0.2">
      <c r="A116" s="13" t="s">
        <v>627</v>
      </c>
      <c r="B116" s="25"/>
      <c r="C116" s="109"/>
      <c r="D116" s="94"/>
      <c r="E116" s="94"/>
      <c r="F116" s="25"/>
      <c r="G116" s="25"/>
      <c r="H116" s="25"/>
      <c r="I116" s="25"/>
      <c r="J116" s="25"/>
      <c r="K116" s="25"/>
    </row>
    <row r="117" spans="1:11" ht="51" x14ac:dyDescent="0.2">
      <c r="A117" s="13" t="s">
        <v>627</v>
      </c>
      <c r="B117" s="14" t="s">
        <v>674</v>
      </c>
      <c r="C117" s="14" t="s">
        <v>675</v>
      </c>
      <c r="D117" s="95" t="s">
        <v>658</v>
      </c>
      <c r="E117" s="97">
        <v>1.3888888888888889E-3</v>
      </c>
      <c r="F117" s="99" t="s">
        <v>644</v>
      </c>
      <c r="G117" s="89" t="s">
        <v>676</v>
      </c>
      <c r="H117" s="14"/>
      <c r="I117" s="14"/>
      <c r="J117" s="14"/>
      <c r="K117" s="14"/>
    </row>
    <row r="118" spans="1:11" ht="51" x14ac:dyDescent="0.2">
      <c r="A118" s="13" t="s">
        <v>627</v>
      </c>
      <c r="B118" s="14" t="s">
        <v>674</v>
      </c>
      <c r="C118" s="14" t="s">
        <v>619</v>
      </c>
      <c r="D118" s="95" t="s">
        <v>658</v>
      </c>
      <c r="E118" s="97">
        <v>1.3888888888888889E-3</v>
      </c>
      <c r="F118" s="99" t="s">
        <v>644</v>
      </c>
      <c r="G118" s="89" t="s">
        <v>677</v>
      </c>
      <c r="H118" s="14"/>
      <c r="I118" s="14"/>
      <c r="J118" s="14"/>
      <c r="K118" s="14"/>
    </row>
    <row r="119" spans="1:11" ht="51" x14ac:dyDescent="0.2">
      <c r="A119" s="13" t="s">
        <v>627</v>
      </c>
      <c r="B119" s="14" t="s">
        <v>674</v>
      </c>
      <c r="C119" s="14" t="s">
        <v>620</v>
      </c>
      <c r="D119" s="95" t="s">
        <v>658</v>
      </c>
      <c r="E119" s="97">
        <v>1.3888888888888889E-3</v>
      </c>
      <c r="F119" s="99" t="s">
        <v>644</v>
      </c>
      <c r="G119" s="89" t="s">
        <v>678</v>
      </c>
      <c r="H119" s="14"/>
      <c r="I119" s="14"/>
      <c r="J119" s="14"/>
      <c r="K119" s="14"/>
    </row>
    <row r="120" spans="1:11" ht="51" x14ac:dyDescent="0.2">
      <c r="A120" s="13" t="s">
        <v>627</v>
      </c>
      <c r="B120" s="14" t="s">
        <v>674</v>
      </c>
      <c r="C120" s="14" t="s">
        <v>621</v>
      </c>
      <c r="D120" s="95" t="s">
        <v>658</v>
      </c>
      <c r="E120" s="97">
        <v>1.3888888888888889E-3</v>
      </c>
      <c r="F120" s="99" t="s">
        <v>644</v>
      </c>
      <c r="G120" s="89" t="s">
        <v>677</v>
      </c>
      <c r="H120" s="14"/>
      <c r="I120" s="14"/>
      <c r="J120" s="14"/>
      <c r="K120" s="14"/>
    </row>
    <row r="121" spans="1:11" ht="51" x14ac:dyDescent="0.2">
      <c r="A121" s="13" t="s">
        <v>627</v>
      </c>
      <c r="B121" s="14" t="s">
        <v>674</v>
      </c>
      <c r="C121" s="14" t="s">
        <v>622</v>
      </c>
      <c r="D121" s="95" t="s">
        <v>658</v>
      </c>
      <c r="E121" s="97">
        <v>1.3888888888888889E-3</v>
      </c>
      <c r="F121" s="99" t="s">
        <v>644</v>
      </c>
      <c r="G121" s="89" t="s">
        <v>677</v>
      </c>
      <c r="H121" s="14"/>
      <c r="I121" s="14"/>
      <c r="J121" s="14"/>
      <c r="K121" s="14"/>
    </row>
    <row r="122" spans="1:11" ht="229.5" x14ac:dyDescent="0.2">
      <c r="A122" s="13" t="s">
        <v>627</v>
      </c>
      <c r="B122" s="14" t="s">
        <v>674</v>
      </c>
      <c r="C122" s="14" t="s">
        <v>679</v>
      </c>
      <c r="D122" s="95" t="s">
        <v>658</v>
      </c>
      <c r="E122" s="97">
        <v>6.9444444444444447E-4</v>
      </c>
      <c r="F122" s="99" t="s">
        <v>644</v>
      </c>
      <c r="G122" s="89" t="s">
        <v>680</v>
      </c>
      <c r="H122" s="14"/>
      <c r="I122" s="14"/>
      <c r="J122" s="14"/>
      <c r="K122" s="14"/>
    </row>
    <row r="123" spans="1:11" ht="25.5" x14ac:dyDescent="0.2">
      <c r="A123" s="13" t="s">
        <v>627</v>
      </c>
      <c r="B123" s="14" t="s">
        <v>674</v>
      </c>
      <c r="C123" s="14" t="s">
        <v>623</v>
      </c>
      <c r="D123" s="95" t="s">
        <v>658</v>
      </c>
      <c r="E123" s="95"/>
      <c r="F123" s="14" t="s">
        <v>156</v>
      </c>
      <c r="G123" s="14" t="s">
        <v>221</v>
      </c>
      <c r="H123" s="14" t="s">
        <v>221</v>
      </c>
      <c r="I123" s="14" t="s">
        <v>221</v>
      </c>
      <c r="J123" s="14" t="s">
        <v>221</v>
      </c>
      <c r="K123" s="14" t="s">
        <v>681</v>
      </c>
    </row>
    <row r="124" spans="1:11" ht="25.5" x14ac:dyDescent="0.2">
      <c r="A124" s="13" t="s">
        <v>627</v>
      </c>
      <c r="B124" s="14" t="s">
        <v>674</v>
      </c>
      <c r="C124" s="14" t="s">
        <v>624</v>
      </c>
      <c r="D124" s="95" t="s">
        <v>658</v>
      </c>
      <c r="E124" s="95"/>
      <c r="F124" s="14" t="s">
        <v>156</v>
      </c>
      <c r="G124" s="14" t="s">
        <v>221</v>
      </c>
      <c r="H124" s="14" t="s">
        <v>221</v>
      </c>
      <c r="I124" s="14" t="s">
        <v>221</v>
      </c>
      <c r="J124" s="14" t="s">
        <v>221</v>
      </c>
      <c r="K124" s="14" t="s">
        <v>681</v>
      </c>
    </row>
    <row r="125" spans="1:11" ht="140.25" x14ac:dyDescent="0.2">
      <c r="A125" s="13" t="s">
        <v>627</v>
      </c>
      <c r="B125" s="14" t="s">
        <v>674</v>
      </c>
      <c r="C125" s="14" t="s">
        <v>682</v>
      </c>
      <c r="D125" s="95" t="s">
        <v>658</v>
      </c>
      <c r="E125" s="97">
        <v>1.3888888888888889E-3</v>
      </c>
      <c r="F125" s="99" t="s">
        <v>644</v>
      </c>
      <c r="G125" s="14" t="s">
        <v>709</v>
      </c>
      <c r="H125" s="14"/>
      <c r="I125" s="14"/>
      <c r="J125" s="14"/>
      <c r="K125" s="14"/>
    </row>
    <row r="126" spans="1:11" ht="63.75" x14ac:dyDescent="0.2">
      <c r="A126" s="13" t="s">
        <v>627</v>
      </c>
      <c r="B126" s="14" t="s">
        <v>674</v>
      </c>
      <c r="C126" s="93" t="s">
        <v>625</v>
      </c>
      <c r="D126" s="95" t="s">
        <v>658</v>
      </c>
      <c r="E126" s="97">
        <v>2.0833333333333333E-3</v>
      </c>
      <c r="F126" s="99" t="s">
        <v>644</v>
      </c>
      <c r="G126" s="14" t="s">
        <v>683</v>
      </c>
      <c r="H126" s="14"/>
      <c r="I126" s="14"/>
      <c r="J126" s="14"/>
      <c r="K126" s="14"/>
    </row>
    <row r="127" spans="1:11" ht="63.75" x14ac:dyDescent="0.2">
      <c r="A127" s="13" t="s">
        <v>627</v>
      </c>
      <c r="B127" s="14" t="s">
        <v>674</v>
      </c>
      <c r="C127" s="80" t="s">
        <v>626</v>
      </c>
      <c r="D127" s="95" t="s">
        <v>658</v>
      </c>
      <c r="E127" s="110">
        <v>3.472222222222222E-3</v>
      </c>
      <c r="F127" s="99" t="s">
        <v>644</v>
      </c>
      <c r="G127" s="80" t="s">
        <v>684</v>
      </c>
      <c r="H127" s="80"/>
      <c r="I127" s="80"/>
      <c r="J127" s="80"/>
      <c r="K127" s="80"/>
    </row>
    <row r="128" spans="1:11" x14ac:dyDescent="0.2">
      <c r="A128" s="13" t="s">
        <v>572</v>
      </c>
      <c r="B128" s="25"/>
      <c r="C128" s="109"/>
      <c r="D128" s="94"/>
      <c r="E128" s="94"/>
      <c r="F128" s="25"/>
      <c r="G128" s="25"/>
      <c r="H128" s="25"/>
      <c r="I128" s="25"/>
      <c r="J128" s="25"/>
      <c r="K128" s="25"/>
    </row>
    <row r="129" spans="1:14" ht="25.5" x14ac:dyDescent="0.2">
      <c r="A129" s="13" t="s">
        <v>572</v>
      </c>
      <c r="B129" s="14" t="s">
        <v>520</v>
      </c>
      <c r="C129" s="14" t="s">
        <v>628</v>
      </c>
      <c r="D129" s="95" t="s">
        <v>658</v>
      </c>
      <c r="E129" s="97">
        <v>6.9444444444444441E-3</v>
      </c>
      <c r="F129" s="14" t="s">
        <v>156</v>
      </c>
      <c r="G129" s="89"/>
      <c r="H129" s="89"/>
      <c r="I129" s="89"/>
      <c r="J129" s="89"/>
      <c r="K129" s="14"/>
    </row>
    <row r="130" spans="1:14" ht="25.5" x14ac:dyDescent="0.2">
      <c r="A130" s="13" t="s">
        <v>572</v>
      </c>
      <c r="B130" s="14" t="s">
        <v>520</v>
      </c>
      <c r="C130" s="14" t="s">
        <v>629</v>
      </c>
      <c r="D130" s="95" t="s">
        <v>658</v>
      </c>
      <c r="E130" s="97">
        <v>6.9444444444444441E-3</v>
      </c>
      <c r="F130" s="99" t="s">
        <v>644</v>
      </c>
      <c r="G130" s="89">
        <v>1.3888888888888889E-3</v>
      </c>
      <c r="H130" s="89"/>
      <c r="I130" s="89"/>
      <c r="J130" s="89"/>
      <c r="K130" s="14"/>
    </row>
    <row r="131" spans="1:14" ht="25.5" x14ac:dyDescent="0.2">
      <c r="A131" s="13" t="s">
        <v>572</v>
      </c>
      <c r="B131" s="14" t="s">
        <v>520</v>
      </c>
      <c r="C131" s="14" t="s">
        <v>710</v>
      </c>
      <c r="D131" s="95" t="s">
        <v>640</v>
      </c>
      <c r="E131" s="97">
        <v>6.9444444444444441E-3</v>
      </c>
      <c r="F131" s="99" t="s">
        <v>644</v>
      </c>
      <c r="G131" s="89">
        <v>1.3888888888888889E-3</v>
      </c>
      <c r="H131" s="89"/>
      <c r="I131" s="89"/>
      <c r="J131" s="89"/>
      <c r="K131" s="14"/>
    </row>
    <row r="132" spans="1:14" ht="25.5" x14ac:dyDescent="0.2">
      <c r="A132" s="13" t="s">
        <v>572</v>
      </c>
      <c r="B132" s="14" t="s">
        <v>520</v>
      </c>
      <c r="C132" s="14" t="s">
        <v>571</v>
      </c>
      <c r="D132" s="95" t="s">
        <v>640</v>
      </c>
      <c r="E132" s="97">
        <v>6.9444444444444447E-4</v>
      </c>
      <c r="F132" s="99" t="s">
        <v>644</v>
      </c>
      <c r="G132" s="89">
        <v>6.9444444444444447E-4</v>
      </c>
      <c r="H132" s="89"/>
      <c r="I132" s="89"/>
      <c r="J132" s="89"/>
      <c r="K132" s="14"/>
    </row>
    <row r="133" spans="1:14" x14ac:dyDescent="0.2">
      <c r="A133" s="13" t="s">
        <v>637</v>
      </c>
      <c r="B133" s="25"/>
      <c r="C133" s="109"/>
      <c r="D133" s="94"/>
      <c r="E133" s="94"/>
      <c r="F133" s="25"/>
      <c r="G133" s="25"/>
      <c r="H133" s="25"/>
      <c r="I133" s="25"/>
      <c r="J133" s="25"/>
      <c r="K133" s="25"/>
    </row>
    <row r="134" spans="1:14" x14ac:dyDescent="0.2">
      <c r="A134" s="13" t="s">
        <v>637</v>
      </c>
      <c r="B134" s="14" t="s">
        <v>631</v>
      </c>
      <c r="C134" s="14" t="s">
        <v>630</v>
      </c>
      <c r="D134" s="95" t="s">
        <v>658</v>
      </c>
      <c r="E134" s="97">
        <v>3.472222222222222E-3</v>
      </c>
      <c r="F134" s="99" t="s">
        <v>644</v>
      </c>
      <c r="G134" s="89"/>
      <c r="H134" s="89"/>
      <c r="I134" s="89"/>
      <c r="J134" s="89"/>
      <c r="K134" s="14"/>
    </row>
    <row r="135" spans="1:14" ht="25.5" x14ac:dyDescent="0.2">
      <c r="A135" s="13" t="s">
        <v>637</v>
      </c>
      <c r="B135" s="14" t="s">
        <v>631</v>
      </c>
      <c r="C135" s="14" t="s">
        <v>632</v>
      </c>
      <c r="D135" s="95" t="s">
        <v>658</v>
      </c>
      <c r="E135" s="97">
        <v>3.472222222222222E-3</v>
      </c>
      <c r="F135" s="99" t="s">
        <v>644</v>
      </c>
      <c r="G135" s="89"/>
      <c r="H135" s="89"/>
      <c r="I135" s="89"/>
      <c r="J135" s="89"/>
      <c r="K135" s="14"/>
    </row>
    <row r="136" spans="1:14" ht="25.5" x14ac:dyDescent="0.2">
      <c r="A136" s="13" t="s">
        <v>637</v>
      </c>
      <c r="B136" s="14" t="s">
        <v>631</v>
      </c>
      <c r="C136" s="14" t="s">
        <v>633</v>
      </c>
      <c r="D136" s="95" t="s">
        <v>658</v>
      </c>
      <c r="E136" s="97">
        <v>3.472222222222222E-3</v>
      </c>
      <c r="F136" s="99" t="s">
        <v>644</v>
      </c>
      <c r="G136" s="89"/>
      <c r="H136" s="89"/>
      <c r="I136" s="89"/>
      <c r="J136" s="89"/>
      <c r="K136" s="14"/>
    </row>
    <row r="137" spans="1:14" x14ac:dyDescent="0.2">
      <c r="A137" s="13" t="s">
        <v>637</v>
      </c>
      <c r="B137" s="14" t="s">
        <v>631</v>
      </c>
      <c r="C137" s="14" t="s">
        <v>634</v>
      </c>
      <c r="D137" s="95" t="s">
        <v>658</v>
      </c>
      <c r="E137" s="97">
        <v>3.472222222222222E-3</v>
      </c>
      <c r="F137" s="99" t="s">
        <v>644</v>
      </c>
      <c r="G137" s="89"/>
      <c r="H137" s="89"/>
      <c r="I137" s="89"/>
      <c r="J137" s="89"/>
      <c r="K137" s="14"/>
    </row>
    <row r="138" spans="1:14" x14ac:dyDescent="0.2">
      <c r="A138" s="13" t="s">
        <v>637</v>
      </c>
      <c r="B138" s="14" t="s">
        <v>631</v>
      </c>
      <c r="C138" s="14" t="s">
        <v>635</v>
      </c>
      <c r="D138" s="95" t="s">
        <v>658</v>
      </c>
      <c r="E138" s="97">
        <v>3.472222222222222E-3</v>
      </c>
      <c r="F138" s="99" t="s">
        <v>644</v>
      </c>
      <c r="G138" s="89"/>
      <c r="H138" s="89"/>
      <c r="I138" s="89"/>
      <c r="J138" s="89"/>
      <c r="K138" s="14"/>
    </row>
    <row r="139" spans="1:14" x14ac:dyDescent="0.2">
      <c r="A139" s="13" t="s">
        <v>637</v>
      </c>
      <c r="B139" s="14" t="s">
        <v>631</v>
      </c>
      <c r="C139" s="14" t="s">
        <v>636</v>
      </c>
      <c r="D139" s="95" t="s">
        <v>658</v>
      </c>
      <c r="E139" s="97">
        <v>3.472222222222222E-3</v>
      </c>
      <c r="F139" s="99" t="s">
        <v>644</v>
      </c>
      <c r="G139" s="89"/>
      <c r="H139" s="89"/>
      <c r="I139" s="89"/>
      <c r="J139" s="89"/>
      <c r="K139" s="14"/>
    </row>
    <row r="140" spans="1:14" x14ac:dyDescent="0.2">
      <c r="A140" s="13" t="s">
        <v>637</v>
      </c>
      <c r="B140" s="14" t="s">
        <v>631</v>
      </c>
      <c r="C140" s="14" t="s">
        <v>638</v>
      </c>
      <c r="D140" s="95" t="s">
        <v>658</v>
      </c>
      <c r="E140" s="97">
        <v>3.472222222222222E-3</v>
      </c>
      <c r="F140" s="99" t="s">
        <v>644</v>
      </c>
    </row>
    <row r="141" spans="1:14" x14ac:dyDescent="0.2">
      <c r="A141" s="13" t="s">
        <v>637</v>
      </c>
      <c r="B141" s="14" t="s">
        <v>631</v>
      </c>
      <c r="C141" s="14"/>
      <c r="D141" s="14"/>
      <c r="E141" s="89"/>
      <c r="F141" s="14"/>
    </row>
    <row r="142" spans="1:14" s="18" customFormat="1" x14ac:dyDescent="0.2">
      <c r="A142" s="37"/>
      <c r="B142" s="135"/>
      <c r="C142" s="45"/>
      <c r="D142" s="46"/>
      <c r="E142" s="47"/>
      <c r="F142" s="47"/>
      <c r="G142" s="48"/>
      <c r="H142" s="49"/>
      <c r="I142" s="50"/>
      <c r="J142" s="50"/>
      <c r="K142" s="45"/>
      <c r="L142" s="45"/>
      <c r="M142" s="135"/>
      <c r="N142" s="136"/>
    </row>
    <row r="143" spans="1:14" s="124" customFormat="1" outlineLevel="2" x14ac:dyDescent="0.2">
      <c r="A143" s="147" t="s">
        <v>105</v>
      </c>
      <c r="B143" s="148"/>
      <c r="C143" s="149"/>
      <c r="D143" s="149"/>
      <c r="E143" s="150"/>
      <c r="F143" s="151"/>
      <c r="G143" s="151"/>
      <c r="H143" s="150"/>
      <c r="I143" s="152"/>
      <c r="J143" s="152"/>
      <c r="K143" s="152"/>
      <c r="L143" s="149"/>
      <c r="M143" s="148"/>
      <c r="N143" s="147"/>
    </row>
    <row r="144" spans="1:14" s="124" customFormat="1" outlineLevel="2" x14ac:dyDescent="0.2">
      <c r="A144" s="12"/>
      <c r="B144" s="13" t="s">
        <v>200</v>
      </c>
      <c r="C144" s="131"/>
      <c r="D144" s="133"/>
      <c r="E144" s="133"/>
      <c r="F144" s="133"/>
      <c r="G144" s="130"/>
      <c r="H144" s="130"/>
      <c r="I144" s="132"/>
      <c r="J144" s="132"/>
      <c r="K144" s="132"/>
      <c r="L144" s="131"/>
      <c r="M144" s="129"/>
      <c r="N144" s="128"/>
    </row>
    <row r="145" spans="3:6" s="18" customFormat="1" x14ac:dyDescent="0.2">
      <c r="C145" s="18" t="s">
        <v>782</v>
      </c>
      <c r="F145" s="5"/>
    </row>
  </sheetData>
  <autoFilter ref="A1:F144"/>
  <conditionalFormatting sqref="F5">
    <cfRule type="cellIs" dxfId="103" priority="137" operator="equal">
      <formula>"N/A"</formula>
    </cfRule>
    <cfRule type="cellIs" dxfId="102" priority="138" stopIfTrue="1" operator="equal">
      <formula>"Failed"</formula>
    </cfRule>
    <cfRule type="cellIs" dxfId="101" priority="139" stopIfTrue="1" operator="equal">
      <formula>"In progress"</formula>
    </cfRule>
    <cfRule type="cellIs" dxfId="100" priority="140" stopIfTrue="1" operator="equal">
      <formula>"Passed"</formula>
    </cfRule>
  </conditionalFormatting>
  <conditionalFormatting sqref="F4:F6">
    <cfRule type="cellIs" dxfId="99" priority="121" operator="equal">
      <formula>"N/A"</formula>
    </cfRule>
    <cfRule type="cellIs" dxfId="98" priority="122" stopIfTrue="1" operator="equal">
      <formula>"Failed"</formula>
    </cfRule>
    <cfRule type="cellIs" dxfId="97" priority="123" stopIfTrue="1" operator="equal">
      <formula>"In progress"</formula>
    </cfRule>
    <cfRule type="cellIs" dxfId="96" priority="124" stopIfTrue="1" operator="equal">
      <formula>"Passed"</formula>
    </cfRule>
  </conditionalFormatting>
  <conditionalFormatting sqref="F8:F23">
    <cfRule type="cellIs" dxfId="95" priority="85" operator="equal">
      <formula>"N/A"</formula>
    </cfRule>
    <cfRule type="cellIs" dxfId="94" priority="86" stopIfTrue="1" operator="equal">
      <formula>"Failed"</formula>
    </cfRule>
    <cfRule type="cellIs" dxfId="93" priority="87" stopIfTrue="1" operator="equal">
      <formula>"In progress"</formula>
    </cfRule>
    <cfRule type="cellIs" dxfId="92" priority="88" stopIfTrue="1" operator="equal">
      <formula>"Passed"</formula>
    </cfRule>
  </conditionalFormatting>
  <conditionalFormatting sqref="F25:F31">
    <cfRule type="cellIs" dxfId="91" priority="81" operator="equal">
      <formula>"N/A"</formula>
    </cfRule>
    <cfRule type="cellIs" dxfId="90" priority="82" stopIfTrue="1" operator="equal">
      <formula>"Failed"</formula>
    </cfRule>
    <cfRule type="cellIs" dxfId="89" priority="83" stopIfTrue="1" operator="equal">
      <formula>"In progress"</formula>
    </cfRule>
    <cfRule type="cellIs" dxfId="88" priority="84" stopIfTrue="1" operator="equal">
      <formula>"Passed"</formula>
    </cfRule>
  </conditionalFormatting>
  <conditionalFormatting sqref="F33:F47">
    <cfRule type="cellIs" dxfId="87" priority="77" operator="equal">
      <formula>"N/A"</formula>
    </cfRule>
    <cfRule type="cellIs" dxfId="86" priority="78" stopIfTrue="1" operator="equal">
      <formula>"Failed"</formula>
    </cfRule>
    <cfRule type="cellIs" dxfId="85" priority="79" stopIfTrue="1" operator="equal">
      <formula>"In progress"</formula>
    </cfRule>
    <cfRule type="cellIs" dxfId="84" priority="80" stopIfTrue="1" operator="equal">
      <formula>"Passed"</formula>
    </cfRule>
  </conditionalFormatting>
  <conditionalFormatting sqref="F49:F55">
    <cfRule type="cellIs" dxfId="83" priority="73" operator="equal">
      <formula>"N/A"</formula>
    </cfRule>
    <cfRule type="cellIs" dxfId="82" priority="74" stopIfTrue="1" operator="equal">
      <formula>"Failed"</formula>
    </cfRule>
    <cfRule type="cellIs" dxfId="81" priority="75" stopIfTrue="1" operator="equal">
      <formula>"In progress"</formula>
    </cfRule>
    <cfRule type="cellIs" dxfId="80" priority="76" stopIfTrue="1" operator="equal">
      <formula>"Passed"</formula>
    </cfRule>
  </conditionalFormatting>
  <conditionalFormatting sqref="F57:F58">
    <cfRule type="cellIs" dxfId="79" priority="69" operator="equal">
      <formula>"N/A"</formula>
    </cfRule>
    <cfRule type="cellIs" dxfId="78" priority="70" stopIfTrue="1" operator="equal">
      <formula>"Failed"</formula>
    </cfRule>
    <cfRule type="cellIs" dxfId="77" priority="71" stopIfTrue="1" operator="equal">
      <formula>"In progress"</formula>
    </cfRule>
    <cfRule type="cellIs" dxfId="76" priority="72" stopIfTrue="1" operator="equal">
      <formula>"Passed"</formula>
    </cfRule>
  </conditionalFormatting>
  <conditionalFormatting sqref="F60:F61">
    <cfRule type="cellIs" dxfId="75" priority="65" operator="equal">
      <formula>"N/A"</formula>
    </cfRule>
    <cfRule type="cellIs" dxfId="74" priority="66" stopIfTrue="1" operator="equal">
      <formula>"Failed"</formula>
    </cfRule>
    <cfRule type="cellIs" dxfId="73" priority="67" stopIfTrue="1" operator="equal">
      <formula>"In progress"</formula>
    </cfRule>
    <cfRule type="cellIs" dxfId="72" priority="68" stopIfTrue="1" operator="equal">
      <formula>"Passed"</formula>
    </cfRule>
  </conditionalFormatting>
  <conditionalFormatting sqref="F64:F66">
    <cfRule type="cellIs" dxfId="71" priority="61" operator="equal">
      <formula>"N/A"</formula>
    </cfRule>
    <cfRule type="cellIs" dxfId="70" priority="62" stopIfTrue="1" operator="equal">
      <formula>"Failed"</formula>
    </cfRule>
    <cfRule type="cellIs" dxfId="69" priority="63" stopIfTrue="1" operator="equal">
      <formula>"In progress"</formula>
    </cfRule>
    <cfRule type="cellIs" dxfId="68" priority="64" stopIfTrue="1" operator="equal">
      <formula>"Passed"</formula>
    </cfRule>
  </conditionalFormatting>
  <conditionalFormatting sqref="F68:F71">
    <cfRule type="cellIs" dxfId="67" priority="57" operator="equal">
      <formula>"N/A"</formula>
    </cfRule>
    <cfRule type="cellIs" dxfId="66" priority="58" stopIfTrue="1" operator="equal">
      <formula>"Failed"</formula>
    </cfRule>
    <cfRule type="cellIs" dxfId="65" priority="59" stopIfTrue="1" operator="equal">
      <formula>"In progress"</formula>
    </cfRule>
    <cfRule type="cellIs" dxfId="64" priority="60" stopIfTrue="1" operator="equal">
      <formula>"Passed"</formula>
    </cfRule>
  </conditionalFormatting>
  <conditionalFormatting sqref="F73:F82">
    <cfRule type="cellIs" dxfId="63" priority="53" operator="equal">
      <formula>"N/A"</formula>
    </cfRule>
    <cfRule type="cellIs" dxfId="62" priority="54" stopIfTrue="1" operator="equal">
      <formula>"Failed"</formula>
    </cfRule>
    <cfRule type="cellIs" dxfId="61" priority="55" stopIfTrue="1" operator="equal">
      <formula>"In progress"</formula>
    </cfRule>
    <cfRule type="cellIs" dxfId="60" priority="56" stopIfTrue="1" operator="equal">
      <formula>"Passed"</formula>
    </cfRule>
  </conditionalFormatting>
  <conditionalFormatting sqref="F84:F88">
    <cfRule type="cellIs" dxfId="59" priority="49" operator="equal">
      <formula>"N/A"</formula>
    </cfRule>
    <cfRule type="cellIs" dxfId="58" priority="50" stopIfTrue="1" operator="equal">
      <formula>"Failed"</formula>
    </cfRule>
    <cfRule type="cellIs" dxfId="57" priority="51" stopIfTrue="1" operator="equal">
      <formula>"In progress"</formula>
    </cfRule>
    <cfRule type="cellIs" dxfId="56" priority="52" stopIfTrue="1" operator="equal">
      <formula>"Passed"</formula>
    </cfRule>
  </conditionalFormatting>
  <conditionalFormatting sqref="F90:F109">
    <cfRule type="cellIs" dxfId="55" priority="45" operator="equal">
      <formula>"N/A"</formula>
    </cfRule>
    <cfRule type="cellIs" dxfId="54" priority="46" stopIfTrue="1" operator="equal">
      <formula>"Failed"</formula>
    </cfRule>
    <cfRule type="cellIs" dxfId="53" priority="47" stopIfTrue="1" operator="equal">
      <formula>"In progress"</formula>
    </cfRule>
    <cfRule type="cellIs" dxfId="52" priority="48" stopIfTrue="1" operator="equal">
      <formula>"Passed"</formula>
    </cfRule>
  </conditionalFormatting>
  <conditionalFormatting sqref="F111:F117">
    <cfRule type="cellIs" dxfId="51" priority="41" operator="equal">
      <formula>"N/A"</formula>
    </cfRule>
    <cfRule type="cellIs" dxfId="50" priority="42" stopIfTrue="1" operator="equal">
      <formula>"Failed"</formula>
    </cfRule>
    <cfRule type="cellIs" dxfId="49" priority="43" stopIfTrue="1" operator="equal">
      <formula>"In progress"</formula>
    </cfRule>
    <cfRule type="cellIs" dxfId="48" priority="44" stopIfTrue="1" operator="equal">
      <formula>"Passed"</formula>
    </cfRule>
  </conditionalFormatting>
  <conditionalFormatting sqref="F119:F129">
    <cfRule type="cellIs" dxfId="47" priority="37" operator="equal">
      <formula>"N/A"</formula>
    </cfRule>
    <cfRule type="cellIs" dxfId="46" priority="38" stopIfTrue="1" operator="equal">
      <formula>"Failed"</formula>
    </cfRule>
    <cfRule type="cellIs" dxfId="45" priority="39" stopIfTrue="1" operator="equal">
      <formula>"In progress"</formula>
    </cfRule>
    <cfRule type="cellIs" dxfId="44" priority="40" stopIfTrue="1" operator="equal">
      <formula>"Passed"</formula>
    </cfRule>
  </conditionalFormatting>
  <conditionalFormatting sqref="F131:F133">
    <cfRule type="cellIs" dxfId="43" priority="33" operator="equal">
      <formula>"N/A"</formula>
    </cfRule>
    <cfRule type="cellIs" dxfId="42" priority="34" stopIfTrue="1" operator="equal">
      <formula>"Failed"</formula>
    </cfRule>
    <cfRule type="cellIs" dxfId="41" priority="35" stopIfTrue="1" operator="equal">
      <formula>"In progress"</formula>
    </cfRule>
    <cfRule type="cellIs" dxfId="40" priority="36" stopIfTrue="1" operator="equal">
      <formula>"Passed"</formula>
    </cfRule>
  </conditionalFormatting>
  <conditionalFormatting sqref="F141">
    <cfRule type="cellIs" dxfId="39" priority="29" operator="equal">
      <formula>"N/A"</formula>
    </cfRule>
    <cfRule type="cellIs" dxfId="38" priority="30" stopIfTrue="1" operator="equal">
      <formula>"Failed"</formula>
    </cfRule>
    <cfRule type="cellIs" dxfId="37" priority="31" stopIfTrue="1" operator="equal">
      <formula>"In progress"</formula>
    </cfRule>
    <cfRule type="cellIs" dxfId="36" priority="32" stopIfTrue="1" operator="equal">
      <formula>"Passed"</formula>
    </cfRule>
  </conditionalFormatting>
  <conditionalFormatting sqref="F134">
    <cfRule type="cellIs" dxfId="35" priority="25" operator="equal">
      <formula>"N/A"</formula>
    </cfRule>
    <cfRule type="cellIs" dxfId="34" priority="26" stopIfTrue="1" operator="equal">
      <formula>"Failed"</formula>
    </cfRule>
    <cfRule type="cellIs" dxfId="33" priority="27" stopIfTrue="1" operator="equal">
      <formula>"In progress"</formula>
    </cfRule>
    <cfRule type="cellIs" dxfId="32" priority="28" stopIfTrue="1" operator="equal">
      <formula>"Passed"</formula>
    </cfRule>
  </conditionalFormatting>
  <conditionalFormatting sqref="F135">
    <cfRule type="cellIs" dxfId="31" priority="21" operator="equal">
      <formula>"N/A"</formula>
    </cfRule>
    <cfRule type="cellIs" dxfId="30" priority="22" stopIfTrue="1" operator="equal">
      <formula>"Failed"</formula>
    </cfRule>
    <cfRule type="cellIs" dxfId="29" priority="23" stopIfTrue="1" operator="equal">
      <formula>"In progress"</formula>
    </cfRule>
    <cfRule type="cellIs" dxfId="28" priority="24" stopIfTrue="1" operator="equal">
      <formula>"Passed"</formula>
    </cfRule>
  </conditionalFormatting>
  <conditionalFormatting sqref="F136">
    <cfRule type="cellIs" dxfId="27" priority="17" operator="equal">
      <formula>"N/A"</formula>
    </cfRule>
    <cfRule type="cellIs" dxfId="26" priority="18" stopIfTrue="1" operator="equal">
      <formula>"Failed"</formula>
    </cfRule>
    <cfRule type="cellIs" dxfId="25" priority="19" stopIfTrue="1" operator="equal">
      <formula>"In progress"</formula>
    </cfRule>
    <cfRule type="cellIs" dxfId="24" priority="20" stopIfTrue="1" operator="equal">
      <formula>"Passed"</formula>
    </cfRule>
  </conditionalFormatting>
  <conditionalFormatting sqref="F137">
    <cfRule type="cellIs" dxfId="23" priority="13" operator="equal">
      <formula>"N/A"</formula>
    </cfRule>
    <cfRule type="cellIs" dxfId="22" priority="14" stopIfTrue="1" operator="equal">
      <formula>"Failed"</formula>
    </cfRule>
    <cfRule type="cellIs" dxfId="21" priority="15" stopIfTrue="1" operator="equal">
      <formula>"In progress"</formula>
    </cfRule>
    <cfRule type="cellIs" dxfId="20" priority="16" stopIfTrue="1" operator="equal">
      <formula>"Passed"</formula>
    </cfRule>
  </conditionalFormatting>
  <conditionalFormatting sqref="F138">
    <cfRule type="cellIs" dxfId="19" priority="9" operator="equal">
      <formula>"N/A"</formula>
    </cfRule>
    <cfRule type="cellIs" dxfId="18" priority="10" stopIfTrue="1" operator="equal">
      <formula>"Failed"</formula>
    </cfRule>
    <cfRule type="cellIs" dxfId="17" priority="11" stopIfTrue="1" operator="equal">
      <formula>"In progress"</formula>
    </cfRule>
    <cfRule type="cellIs" dxfId="16" priority="12" stopIfTrue="1" operator="equal">
      <formula>"Passed"</formula>
    </cfRule>
  </conditionalFormatting>
  <conditionalFormatting sqref="F139">
    <cfRule type="cellIs" dxfId="15" priority="5" operator="equal">
      <formula>"N/A"</formula>
    </cfRule>
    <cfRule type="cellIs" dxfId="14" priority="6" stopIfTrue="1" operator="equal">
      <formula>"Failed"</formula>
    </cfRule>
    <cfRule type="cellIs" dxfId="13" priority="7" stopIfTrue="1" operator="equal">
      <formula>"In progress"</formula>
    </cfRule>
    <cfRule type="cellIs" dxfId="12" priority="8" stopIfTrue="1" operator="equal">
      <formula>"Passed"</formula>
    </cfRule>
  </conditionalFormatting>
  <conditionalFormatting sqref="F140">
    <cfRule type="cellIs" dxfId="11" priority="1" operator="equal">
      <formula>"N/A"</formula>
    </cfRule>
    <cfRule type="cellIs" dxfId="10" priority="2" stopIfTrue="1" operator="equal">
      <formula>"Failed"</formula>
    </cfRule>
    <cfRule type="cellIs" dxfId="9" priority="3" stopIfTrue="1" operator="equal">
      <formula>"In progress"</formula>
    </cfRule>
    <cfRule type="cellIs" dxfId="8" priority="4" stopIfTrue="1" operator="equal">
      <formula>"Passed"</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51"/>
  <sheetViews>
    <sheetView topLeftCell="E1" workbookViewId="0">
      <selection activeCell="Q10" sqref="Q10:Q22"/>
    </sheetView>
  </sheetViews>
  <sheetFormatPr baseColWidth="10" defaultRowHeight="12.75" x14ac:dyDescent="0.2"/>
  <cols>
    <col min="1" max="1" width="6.28515625" style="123" customWidth="1"/>
    <col min="2" max="2" width="3" style="123" bestFit="1" customWidth="1"/>
    <col min="3" max="4" width="11.7109375" style="123" customWidth="1"/>
    <col min="5" max="5" width="11.42578125" style="123"/>
    <col min="6" max="6" width="3" style="123" bestFit="1" customWidth="1"/>
    <col min="7" max="8" width="11.7109375" style="123" customWidth="1"/>
    <col min="9" max="9" width="11.42578125" style="123"/>
    <col min="10" max="10" width="14" style="123" bestFit="1" customWidth="1"/>
    <col min="11" max="11" width="11.42578125" style="123"/>
    <col min="12" max="12" width="9" style="123" bestFit="1" customWidth="1"/>
    <col min="13" max="16384" width="11.42578125" style="123"/>
  </cols>
  <sheetData>
    <row r="1" spans="2:19" ht="13.5" thickBot="1" x14ac:dyDescent="0.25"/>
    <row r="2" spans="2:19" ht="13.5" thickBot="1" x14ac:dyDescent="0.25">
      <c r="C2" s="1" t="s">
        <v>146</v>
      </c>
      <c r="D2" s="279"/>
      <c r="G2" s="1" t="s">
        <v>147</v>
      </c>
      <c r="H2" s="279"/>
      <c r="J2" s="165" t="s">
        <v>893</v>
      </c>
      <c r="R2" s="123" t="s">
        <v>902</v>
      </c>
      <c r="S2" s="123" t="s">
        <v>903</v>
      </c>
    </row>
    <row r="3" spans="2:19" ht="13.5" thickBot="1" x14ac:dyDescent="0.25">
      <c r="B3" s="137">
        <v>1</v>
      </c>
      <c r="C3" s="137">
        <v>1</v>
      </c>
      <c r="D3" s="138">
        <v>7329661</v>
      </c>
      <c r="F3" s="137">
        <v>1</v>
      </c>
      <c r="G3" s="137">
        <v>1</v>
      </c>
      <c r="H3" s="138">
        <v>14528273</v>
      </c>
      <c r="J3" s="166">
        <v>9008</v>
      </c>
      <c r="M3" s="1" t="s">
        <v>780</v>
      </c>
      <c r="N3" s="279"/>
      <c r="O3" s="123" t="s">
        <v>4</v>
      </c>
      <c r="P3" s="123" t="s">
        <v>904</v>
      </c>
      <c r="Q3" s="123" t="s">
        <v>905</v>
      </c>
      <c r="R3" s="123">
        <f>R5*48</f>
        <v>10921</v>
      </c>
      <c r="S3" s="168">
        <f>R3/3600</f>
        <v>3.033611111111111</v>
      </c>
    </row>
    <row r="4" spans="2:19" x14ac:dyDescent="0.2">
      <c r="B4" s="139">
        <v>2</v>
      </c>
      <c r="C4" s="139">
        <f>D3+1</f>
        <v>7329662</v>
      </c>
      <c r="D4" s="140">
        <v>7875083</v>
      </c>
      <c r="F4" s="139">
        <v>2</v>
      </c>
      <c r="G4" s="139">
        <v>14528274</v>
      </c>
      <c r="H4" s="140">
        <v>16212437</v>
      </c>
      <c r="J4" s="166">
        <v>9500</v>
      </c>
      <c r="L4" s="123">
        <v>1</v>
      </c>
      <c r="M4" s="169">
        <v>1</v>
      </c>
      <c r="N4" s="169">
        <v>7329661</v>
      </c>
      <c r="O4" s="123" t="s">
        <v>716</v>
      </c>
      <c r="P4" s="123">
        <v>357</v>
      </c>
      <c r="Q4" s="123">
        <v>2</v>
      </c>
    </row>
    <row r="5" spans="2:19" x14ac:dyDescent="0.2">
      <c r="B5" s="139">
        <v>3</v>
      </c>
      <c r="C5" s="139">
        <f t="shared" ref="C5:C34" si="0">D4+1</f>
        <v>7875084</v>
      </c>
      <c r="D5" s="140">
        <v>8351494</v>
      </c>
      <c r="F5" s="139">
        <v>3</v>
      </c>
      <c r="G5" s="139">
        <v>16212438</v>
      </c>
      <c r="H5" s="140">
        <v>31061521</v>
      </c>
      <c r="J5" s="166">
        <v>9501</v>
      </c>
      <c r="L5" s="123">
        <v>2</v>
      </c>
      <c r="M5" s="170">
        <v>7329662</v>
      </c>
      <c r="N5" s="170">
        <v>7475666</v>
      </c>
      <c r="O5" s="123" t="s">
        <v>716</v>
      </c>
      <c r="P5" s="123">
        <v>200</v>
      </c>
      <c r="Q5" s="123">
        <v>1</v>
      </c>
      <c r="R5" s="123">
        <f>AVERAGE(P4:P51)</f>
        <v>227.52083333333334</v>
      </c>
      <c r="S5" s="123" t="s">
        <v>906</v>
      </c>
    </row>
    <row r="6" spans="2:19" x14ac:dyDescent="0.2">
      <c r="B6" s="139">
        <v>4</v>
      </c>
      <c r="C6" s="139">
        <f t="shared" si="0"/>
        <v>8351495</v>
      </c>
      <c r="D6" s="140">
        <v>9099913</v>
      </c>
      <c r="F6" s="139">
        <v>4</v>
      </c>
      <c r="G6" s="139">
        <v>31061522</v>
      </c>
      <c r="H6" s="140">
        <v>31842369</v>
      </c>
      <c r="J6" s="166">
        <v>9502</v>
      </c>
      <c r="L6" s="123">
        <v>3</v>
      </c>
      <c r="M6" s="170">
        <v>7475667</v>
      </c>
      <c r="N6" s="170">
        <v>7650000</v>
      </c>
      <c r="O6" s="123" t="s">
        <v>716</v>
      </c>
      <c r="P6" s="123">
        <v>153</v>
      </c>
      <c r="Q6" s="123">
        <v>1</v>
      </c>
    </row>
    <row r="7" spans="2:19" x14ac:dyDescent="0.2">
      <c r="B7" s="139">
        <v>5</v>
      </c>
      <c r="C7" s="139">
        <f t="shared" si="0"/>
        <v>9099914</v>
      </c>
      <c r="D7" s="140">
        <v>9301488</v>
      </c>
      <c r="F7" s="139">
        <v>5</v>
      </c>
      <c r="G7" s="139">
        <v>31842370</v>
      </c>
      <c r="H7" s="140">
        <v>32658987</v>
      </c>
      <c r="J7" s="166">
        <v>9503</v>
      </c>
      <c r="L7" s="123">
        <v>4</v>
      </c>
      <c r="M7" s="170">
        <v>7650001</v>
      </c>
      <c r="N7" s="170">
        <v>7750000</v>
      </c>
      <c r="O7" s="123" t="s">
        <v>716</v>
      </c>
      <c r="P7" s="123">
        <v>156</v>
      </c>
      <c r="Q7" s="123">
        <v>1</v>
      </c>
    </row>
    <row r="8" spans="2:19" x14ac:dyDescent="0.2">
      <c r="B8" s="139">
        <v>6</v>
      </c>
      <c r="C8" s="139">
        <f t="shared" si="0"/>
        <v>9301489</v>
      </c>
      <c r="D8" s="140">
        <v>9479122</v>
      </c>
      <c r="F8" s="139">
        <v>6</v>
      </c>
      <c r="G8" s="139">
        <v>32658988</v>
      </c>
      <c r="H8" s="140">
        <v>33689817</v>
      </c>
      <c r="J8" s="166">
        <v>9504</v>
      </c>
      <c r="L8" s="123">
        <v>5</v>
      </c>
      <c r="M8" s="170">
        <v>7750001</v>
      </c>
      <c r="N8" s="170">
        <v>7875083</v>
      </c>
      <c r="O8" s="123" t="s">
        <v>716</v>
      </c>
      <c r="P8" s="123">
        <v>149</v>
      </c>
      <c r="Q8" s="123">
        <v>1</v>
      </c>
    </row>
    <row r="9" spans="2:19" x14ac:dyDescent="0.2">
      <c r="B9" s="139">
        <v>7</v>
      </c>
      <c r="C9" s="139">
        <f t="shared" si="0"/>
        <v>9479123</v>
      </c>
      <c r="D9" s="140">
        <v>12503502</v>
      </c>
      <c r="F9" s="139">
        <v>7</v>
      </c>
      <c r="G9" s="139">
        <v>33689818</v>
      </c>
      <c r="H9" s="140">
        <v>34423579</v>
      </c>
      <c r="J9" s="166">
        <v>9506</v>
      </c>
      <c r="L9" s="123">
        <v>6</v>
      </c>
      <c r="M9" s="169">
        <v>7875084</v>
      </c>
      <c r="N9" s="169">
        <v>8351494</v>
      </c>
      <c r="O9" s="123" t="s">
        <v>716</v>
      </c>
      <c r="P9" s="123">
        <v>256</v>
      </c>
      <c r="Q9" s="123">
        <v>2</v>
      </c>
    </row>
    <row r="10" spans="2:19" x14ac:dyDescent="0.2">
      <c r="B10" s="139">
        <v>8</v>
      </c>
      <c r="C10" s="139">
        <f t="shared" si="0"/>
        <v>12503503</v>
      </c>
      <c r="D10" s="140">
        <v>12963947</v>
      </c>
      <c r="F10" s="139">
        <v>8</v>
      </c>
      <c r="G10" s="139">
        <v>34423580</v>
      </c>
      <c r="H10" s="140">
        <v>35390347</v>
      </c>
      <c r="J10" s="166">
        <v>9508</v>
      </c>
      <c r="L10" s="123">
        <v>7</v>
      </c>
      <c r="M10" s="169">
        <v>8351495</v>
      </c>
      <c r="N10" s="169">
        <v>9099913</v>
      </c>
      <c r="O10" s="123" t="s">
        <v>716</v>
      </c>
      <c r="P10" s="123">
        <v>354</v>
      </c>
      <c r="Q10" s="123">
        <v>3</v>
      </c>
    </row>
    <row r="11" spans="2:19" x14ac:dyDescent="0.2">
      <c r="B11" s="139">
        <v>9</v>
      </c>
      <c r="C11" s="139">
        <f t="shared" si="0"/>
        <v>12963948</v>
      </c>
      <c r="D11" s="140">
        <v>13479360</v>
      </c>
      <c r="F11" s="139">
        <v>9</v>
      </c>
      <c r="G11" s="139">
        <v>35390348</v>
      </c>
      <c r="H11" s="140">
        <v>35982249</v>
      </c>
      <c r="J11" s="166">
        <v>9509</v>
      </c>
      <c r="L11" s="123">
        <v>8</v>
      </c>
      <c r="M11" s="169">
        <v>9099914</v>
      </c>
      <c r="N11" s="169">
        <v>9301488</v>
      </c>
      <c r="O11" s="123" t="s">
        <v>716</v>
      </c>
      <c r="P11" s="123">
        <v>297</v>
      </c>
      <c r="Q11" s="123">
        <v>3</v>
      </c>
    </row>
    <row r="12" spans="2:19" ht="13.5" thickBot="1" x14ac:dyDescent="0.25">
      <c r="B12" s="139">
        <v>10</v>
      </c>
      <c r="C12" s="139">
        <f t="shared" si="0"/>
        <v>13479361</v>
      </c>
      <c r="D12" s="140">
        <v>13965269</v>
      </c>
      <c r="F12" s="141">
        <v>10</v>
      </c>
      <c r="G12" s="141">
        <v>35982250</v>
      </c>
      <c r="H12" s="142">
        <v>49999999</v>
      </c>
      <c r="J12" s="166">
        <v>9510</v>
      </c>
      <c r="L12" s="123">
        <v>9</v>
      </c>
      <c r="M12" s="169">
        <v>9301489</v>
      </c>
      <c r="N12" s="169">
        <v>9479122</v>
      </c>
      <c r="O12" s="123" t="s">
        <v>716</v>
      </c>
      <c r="P12" s="123">
        <v>294</v>
      </c>
      <c r="Q12" s="123">
        <v>3</v>
      </c>
    </row>
    <row r="13" spans="2:19" x14ac:dyDescent="0.2">
      <c r="B13" s="139">
        <v>11</v>
      </c>
      <c r="C13" s="139">
        <f t="shared" si="0"/>
        <v>13965270</v>
      </c>
      <c r="D13" s="140">
        <v>14427334</v>
      </c>
      <c r="J13" s="166">
        <v>9512</v>
      </c>
      <c r="L13" s="123">
        <v>10</v>
      </c>
      <c r="M13" s="169">
        <v>9479123</v>
      </c>
      <c r="N13" s="169">
        <v>12503502</v>
      </c>
      <c r="O13" s="123" t="s">
        <v>716</v>
      </c>
      <c r="P13" s="123">
        <v>460</v>
      </c>
      <c r="Q13" s="123">
        <v>5</v>
      </c>
    </row>
    <row r="14" spans="2:19" x14ac:dyDescent="0.2">
      <c r="B14" s="139">
        <v>12</v>
      </c>
      <c r="C14" s="139">
        <f t="shared" si="0"/>
        <v>14427335</v>
      </c>
      <c r="D14" s="140">
        <v>15463517</v>
      </c>
      <c r="J14" s="166">
        <v>9522</v>
      </c>
      <c r="L14" s="123">
        <v>11</v>
      </c>
      <c r="M14" s="169">
        <v>12503503</v>
      </c>
      <c r="N14" s="169">
        <v>12963947</v>
      </c>
      <c r="O14" s="123" t="s">
        <v>716</v>
      </c>
      <c r="P14" s="123">
        <v>297</v>
      </c>
      <c r="Q14" s="123">
        <v>3</v>
      </c>
    </row>
    <row r="15" spans="2:19" x14ac:dyDescent="0.2">
      <c r="B15" s="139">
        <v>13</v>
      </c>
      <c r="C15" s="139">
        <f t="shared" si="0"/>
        <v>15463518</v>
      </c>
      <c r="D15" s="140">
        <v>15804431</v>
      </c>
      <c r="J15" s="166">
        <v>9523</v>
      </c>
      <c r="L15" s="123">
        <v>12</v>
      </c>
      <c r="M15" s="169">
        <v>12963948</v>
      </c>
      <c r="N15" s="169">
        <v>13479360</v>
      </c>
      <c r="O15" s="123" t="s">
        <v>716</v>
      </c>
      <c r="P15" s="123">
        <v>235</v>
      </c>
      <c r="Q15" s="123">
        <v>3</v>
      </c>
    </row>
    <row r="16" spans="2:19" x14ac:dyDescent="0.2">
      <c r="B16" s="139">
        <v>14</v>
      </c>
      <c r="C16" s="139">
        <f t="shared" si="0"/>
        <v>15804432</v>
      </c>
      <c r="D16" s="140">
        <v>30383026</v>
      </c>
      <c r="J16" s="166">
        <v>9524</v>
      </c>
      <c r="L16" s="123">
        <v>13</v>
      </c>
      <c r="M16" s="169">
        <v>13479361</v>
      </c>
      <c r="N16" s="169">
        <v>13965269</v>
      </c>
      <c r="O16" s="123" t="s">
        <v>716</v>
      </c>
      <c r="P16" s="123">
        <v>237</v>
      </c>
      <c r="Q16" s="123">
        <v>3</v>
      </c>
    </row>
    <row r="17" spans="2:17" x14ac:dyDescent="0.2">
      <c r="B17" s="139">
        <v>15</v>
      </c>
      <c r="C17" s="139">
        <f t="shared" si="0"/>
        <v>30383027</v>
      </c>
      <c r="D17" s="140">
        <v>30915011</v>
      </c>
      <c r="J17" s="166">
        <v>9529</v>
      </c>
      <c r="L17" s="123">
        <v>14</v>
      </c>
      <c r="M17" s="169">
        <v>13965270</v>
      </c>
      <c r="N17" s="169">
        <v>14427334</v>
      </c>
      <c r="O17" s="123" t="s">
        <v>716</v>
      </c>
      <c r="P17" s="123">
        <v>233</v>
      </c>
      <c r="Q17" s="123">
        <v>3</v>
      </c>
    </row>
    <row r="18" spans="2:17" x14ac:dyDescent="0.2">
      <c r="B18" s="139">
        <v>16</v>
      </c>
      <c r="C18" s="139">
        <f t="shared" si="0"/>
        <v>30915012</v>
      </c>
      <c r="D18" s="140">
        <v>31270372</v>
      </c>
      <c r="J18" s="166">
        <v>9801</v>
      </c>
      <c r="L18" s="123">
        <v>15</v>
      </c>
      <c r="M18" s="169">
        <v>14427335</v>
      </c>
      <c r="N18" s="169">
        <v>15463517</v>
      </c>
      <c r="O18" s="123" t="s">
        <v>716</v>
      </c>
      <c r="P18" s="123">
        <v>365</v>
      </c>
      <c r="Q18" s="123">
        <v>5</v>
      </c>
    </row>
    <row r="19" spans="2:17" x14ac:dyDescent="0.2">
      <c r="B19" s="139">
        <v>17</v>
      </c>
      <c r="C19" s="139">
        <f t="shared" si="0"/>
        <v>31270373</v>
      </c>
      <c r="D19" s="140">
        <v>31680301</v>
      </c>
      <c r="J19" s="166">
        <v>9802</v>
      </c>
      <c r="L19" s="123">
        <v>16</v>
      </c>
      <c r="M19" s="169">
        <v>15463518</v>
      </c>
      <c r="N19" s="169">
        <v>15804431</v>
      </c>
      <c r="O19" s="123" t="s">
        <v>716</v>
      </c>
      <c r="P19" s="123">
        <v>234</v>
      </c>
      <c r="Q19" s="123">
        <v>3</v>
      </c>
    </row>
    <row r="20" spans="2:17" x14ac:dyDescent="0.2">
      <c r="B20" s="139">
        <v>18</v>
      </c>
      <c r="C20" s="139">
        <f t="shared" si="0"/>
        <v>31680302</v>
      </c>
      <c r="D20" s="140">
        <v>31993731</v>
      </c>
      <c r="J20" s="166">
        <v>9803</v>
      </c>
      <c r="L20" s="123">
        <v>17</v>
      </c>
      <c r="M20" s="169">
        <v>15804432</v>
      </c>
      <c r="N20" s="169">
        <v>30383026</v>
      </c>
      <c r="O20" s="123" t="s">
        <v>716</v>
      </c>
      <c r="P20" s="123">
        <v>360</v>
      </c>
      <c r="Q20" s="123">
        <v>5</v>
      </c>
    </row>
    <row r="21" spans="2:17" x14ac:dyDescent="0.2">
      <c r="B21" s="139">
        <v>19</v>
      </c>
      <c r="C21" s="139">
        <f t="shared" si="0"/>
        <v>31993732</v>
      </c>
      <c r="D21" s="140">
        <v>32366270</v>
      </c>
      <c r="J21" s="166">
        <v>9871</v>
      </c>
      <c r="L21" s="123">
        <v>18</v>
      </c>
      <c r="M21" s="169">
        <v>30383027</v>
      </c>
      <c r="N21" s="169">
        <v>30915011</v>
      </c>
      <c r="O21" s="123" t="s">
        <v>716</v>
      </c>
      <c r="P21" s="123">
        <v>290</v>
      </c>
      <c r="Q21" s="123">
        <v>4</v>
      </c>
    </row>
    <row r="22" spans="2:17" x14ac:dyDescent="0.2">
      <c r="B22" s="139">
        <v>20</v>
      </c>
      <c r="C22" s="139">
        <f t="shared" si="0"/>
        <v>32366271</v>
      </c>
      <c r="D22" s="140">
        <v>32753462</v>
      </c>
      <c r="J22" s="166">
        <v>9872</v>
      </c>
      <c r="L22" s="123">
        <v>19</v>
      </c>
      <c r="M22" s="169">
        <v>30915012</v>
      </c>
      <c r="N22" s="169">
        <v>31270372</v>
      </c>
      <c r="O22" s="123" t="s">
        <v>716</v>
      </c>
      <c r="P22" s="123">
        <v>234</v>
      </c>
      <c r="Q22" s="123">
        <v>3</v>
      </c>
    </row>
    <row r="23" spans="2:17" x14ac:dyDescent="0.2">
      <c r="B23" s="139">
        <v>21</v>
      </c>
      <c r="C23" s="139">
        <f t="shared" si="0"/>
        <v>32753463</v>
      </c>
      <c r="D23" s="140">
        <v>33034459</v>
      </c>
      <c r="J23" s="166">
        <v>9884</v>
      </c>
      <c r="L23" s="123">
        <v>20</v>
      </c>
      <c r="M23" s="169">
        <v>31270373</v>
      </c>
      <c r="N23" s="169">
        <v>31286337</v>
      </c>
      <c r="O23" s="123" t="s">
        <v>716</v>
      </c>
      <c r="P23" s="123">
        <v>107</v>
      </c>
      <c r="Q23" s="123">
        <v>1</v>
      </c>
    </row>
    <row r="24" spans="2:17" x14ac:dyDescent="0.2">
      <c r="B24" s="139">
        <v>22</v>
      </c>
      <c r="C24" s="139">
        <f t="shared" si="0"/>
        <v>33034460</v>
      </c>
      <c r="D24" s="140">
        <v>33443172</v>
      </c>
      <c r="J24" s="166">
        <v>9891</v>
      </c>
      <c r="L24" s="123">
        <v>21</v>
      </c>
      <c r="M24" s="170">
        <v>31286338</v>
      </c>
      <c r="N24" s="170">
        <v>31287338</v>
      </c>
      <c r="O24" s="123" t="s">
        <v>716</v>
      </c>
      <c r="P24" s="123">
        <v>102</v>
      </c>
      <c r="Q24" s="123">
        <v>1</v>
      </c>
    </row>
    <row r="25" spans="2:17" x14ac:dyDescent="0.2">
      <c r="B25" s="139">
        <v>23</v>
      </c>
      <c r="C25" s="139">
        <f t="shared" si="0"/>
        <v>33443173</v>
      </c>
      <c r="D25" s="140">
        <v>33830162</v>
      </c>
      <c r="J25" s="166">
        <v>9892</v>
      </c>
      <c r="L25" s="123">
        <v>22</v>
      </c>
      <c r="M25" s="170">
        <v>31287339</v>
      </c>
      <c r="N25" s="170">
        <v>31289000</v>
      </c>
      <c r="O25" s="123" t="s">
        <v>716</v>
      </c>
      <c r="P25" s="123">
        <v>103</v>
      </c>
      <c r="Q25" s="123">
        <v>1</v>
      </c>
    </row>
    <row r="26" spans="2:17" x14ac:dyDescent="0.2">
      <c r="B26" s="139">
        <v>24</v>
      </c>
      <c r="C26" s="139">
        <f t="shared" si="0"/>
        <v>33830163</v>
      </c>
      <c r="D26" s="140">
        <v>34251407</v>
      </c>
      <c r="J26" s="166">
        <v>9893</v>
      </c>
      <c r="L26" s="123">
        <v>23</v>
      </c>
      <c r="M26" s="170">
        <v>31289001</v>
      </c>
      <c r="N26" s="170">
        <v>31291186</v>
      </c>
      <c r="O26" s="123" t="s">
        <v>716</v>
      </c>
      <c r="P26" s="123">
        <v>104</v>
      </c>
      <c r="Q26" s="123">
        <v>1</v>
      </c>
    </row>
    <row r="27" spans="2:17" ht="13.5" thickBot="1" x14ac:dyDescent="0.25">
      <c r="B27" s="139">
        <v>25</v>
      </c>
      <c r="C27" s="139">
        <f t="shared" si="0"/>
        <v>34251408</v>
      </c>
      <c r="D27" s="140">
        <v>34921717</v>
      </c>
      <c r="J27" s="167">
        <v>9894</v>
      </c>
      <c r="L27" s="123">
        <v>24</v>
      </c>
      <c r="M27" s="169">
        <v>31291187</v>
      </c>
      <c r="N27" s="169">
        <v>31680301</v>
      </c>
      <c r="O27" s="123" t="s">
        <v>716</v>
      </c>
      <c r="P27" s="123">
        <v>231</v>
      </c>
      <c r="Q27" s="123">
        <v>3</v>
      </c>
    </row>
    <row r="28" spans="2:17" x14ac:dyDescent="0.2">
      <c r="B28" s="139">
        <v>26</v>
      </c>
      <c r="C28" s="139">
        <f t="shared" si="0"/>
        <v>34921718</v>
      </c>
      <c r="D28" s="140">
        <v>35558075</v>
      </c>
      <c r="L28" s="123">
        <v>25</v>
      </c>
      <c r="M28" s="169">
        <v>31680302</v>
      </c>
      <c r="N28" s="169">
        <v>31993731</v>
      </c>
      <c r="O28" s="123" t="s">
        <v>716</v>
      </c>
      <c r="P28" s="123">
        <v>167</v>
      </c>
      <c r="Q28" s="123">
        <v>2</v>
      </c>
    </row>
    <row r="29" spans="2:17" x14ac:dyDescent="0.2">
      <c r="B29" s="139">
        <v>27</v>
      </c>
      <c r="C29" s="139">
        <f t="shared" si="0"/>
        <v>35558076</v>
      </c>
      <c r="D29" s="140">
        <v>40058774</v>
      </c>
      <c r="L29" s="123">
        <v>26</v>
      </c>
      <c r="M29" s="169">
        <v>31993732</v>
      </c>
      <c r="N29" s="169">
        <v>32366270</v>
      </c>
      <c r="O29" s="123" t="s">
        <v>716</v>
      </c>
      <c r="P29" s="123">
        <v>236</v>
      </c>
      <c r="Q29" s="123">
        <v>3</v>
      </c>
    </row>
    <row r="30" spans="2:17" x14ac:dyDescent="0.2">
      <c r="B30" s="139">
        <v>28</v>
      </c>
      <c r="C30" s="139">
        <f t="shared" si="0"/>
        <v>40058775</v>
      </c>
      <c r="D30" s="140">
        <v>40361801</v>
      </c>
      <c r="L30" s="123">
        <v>27</v>
      </c>
      <c r="M30" s="169">
        <v>32366271</v>
      </c>
      <c r="N30" s="169">
        <v>32753462</v>
      </c>
      <c r="O30" s="123" t="s">
        <v>716</v>
      </c>
      <c r="P30" s="123">
        <v>237</v>
      </c>
      <c r="Q30" s="123">
        <v>3</v>
      </c>
    </row>
    <row r="31" spans="2:17" x14ac:dyDescent="0.2">
      <c r="B31" s="139">
        <v>29</v>
      </c>
      <c r="C31" s="139">
        <f t="shared" si="0"/>
        <v>40361802</v>
      </c>
      <c r="D31" s="140">
        <v>40685840</v>
      </c>
      <c r="L31" s="123">
        <v>28</v>
      </c>
      <c r="M31" s="169">
        <v>32753463</v>
      </c>
      <c r="N31" s="169">
        <v>33034459</v>
      </c>
      <c r="O31" s="123" t="s">
        <v>716</v>
      </c>
      <c r="P31" s="123">
        <v>233</v>
      </c>
      <c r="Q31" s="123">
        <v>3</v>
      </c>
    </row>
    <row r="32" spans="2:17" x14ac:dyDescent="0.2">
      <c r="B32" s="139">
        <v>30</v>
      </c>
      <c r="C32" s="139">
        <f t="shared" si="0"/>
        <v>40685841</v>
      </c>
      <c r="D32" s="140">
        <v>41024229</v>
      </c>
      <c r="L32" s="123">
        <v>29</v>
      </c>
      <c r="M32" s="169">
        <v>33034460</v>
      </c>
      <c r="N32" s="169">
        <v>33443172</v>
      </c>
      <c r="O32" s="123" t="s">
        <v>716</v>
      </c>
      <c r="P32" s="123">
        <v>296</v>
      </c>
      <c r="Q32" s="123">
        <v>4</v>
      </c>
    </row>
    <row r="33" spans="2:17" x14ac:dyDescent="0.2">
      <c r="B33" s="139">
        <v>31</v>
      </c>
      <c r="C33" s="139">
        <f t="shared" si="0"/>
        <v>41024230</v>
      </c>
      <c r="D33" s="140">
        <v>41684435</v>
      </c>
      <c r="L33" s="123">
        <v>30</v>
      </c>
      <c r="M33" s="169">
        <v>33443173</v>
      </c>
      <c r="N33" s="169">
        <v>33830162</v>
      </c>
      <c r="O33" s="123" t="s">
        <v>716</v>
      </c>
      <c r="P33" s="123">
        <v>298</v>
      </c>
      <c r="Q33" s="123">
        <v>4</v>
      </c>
    </row>
    <row r="34" spans="2:17" ht="13.5" thickBot="1" x14ac:dyDescent="0.25">
      <c r="B34" s="141">
        <v>32</v>
      </c>
      <c r="C34" s="141">
        <f t="shared" si="0"/>
        <v>41684436</v>
      </c>
      <c r="D34" s="142">
        <v>49999999</v>
      </c>
      <c r="L34" s="123">
        <v>31</v>
      </c>
      <c r="M34" s="169">
        <v>33830163</v>
      </c>
      <c r="N34" s="169">
        <v>34251407</v>
      </c>
      <c r="O34" s="123" t="s">
        <v>716</v>
      </c>
      <c r="P34" s="123">
        <v>298</v>
      </c>
      <c r="Q34" s="123">
        <v>4</v>
      </c>
    </row>
    <row r="35" spans="2:17" x14ac:dyDescent="0.2">
      <c r="L35" s="123">
        <v>32</v>
      </c>
      <c r="M35" s="169">
        <v>34251408</v>
      </c>
      <c r="N35" s="169">
        <v>34644457</v>
      </c>
      <c r="O35" s="123" t="s">
        <v>716</v>
      </c>
      <c r="P35" s="123">
        <v>170</v>
      </c>
      <c r="Q35" s="123">
        <v>2</v>
      </c>
    </row>
    <row r="36" spans="2:17" x14ac:dyDescent="0.2">
      <c r="L36" s="123">
        <v>33</v>
      </c>
      <c r="M36" s="170">
        <v>34644458</v>
      </c>
      <c r="N36" s="170">
        <v>34654457</v>
      </c>
      <c r="O36" s="123" t="s">
        <v>716</v>
      </c>
      <c r="P36" s="123">
        <v>104</v>
      </c>
      <c r="Q36" s="123">
        <v>1</v>
      </c>
    </row>
    <row r="37" spans="2:17" x14ac:dyDescent="0.2">
      <c r="L37" s="123">
        <v>34</v>
      </c>
      <c r="M37" s="170">
        <v>34654458</v>
      </c>
      <c r="N37" s="170">
        <v>34664457</v>
      </c>
      <c r="O37" s="123" t="s">
        <v>716</v>
      </c>
      <c r="P37" s="123">
        <v>103</v>
      </c>
      <c r="Q37" s="123">
        <v>1</v>
      </c>
    </row>
    <row r="38" spans="2:17" x14ac:dyDescent="0.2">
      <c r="L38" s="123">
        <v>35</v>
      </c>
      <c r="M38" s="170">
        <v>34664458</v>
      </c>
      <c r="N38" s="170">
        <v>34674457</v>
      </c>
      <c r="O38" s="123" t="s">
        <v>716</v>
      </c>
      <c r="P38" s="123">
        <v>103</v>
      </c>
      <c r="Q38" s="123">
        <v>1</v>
      </c>
    </row>
    <row r="39" spans="2:17" x14ac:dyDescent="0.2">
      <c r="L39" s="123">
        <v>36</v>
      </c>
      <c r="M39" s="170">
        <v>34674458</v>
      </c>
      <c r="N39" s="170">
        <v>34684457</v>
      </c>
      <c r="O39" s="123" t="s">
        <v>716</v>
      </c>
      <c r="P39" s="123">
        <v>103</v>
      </c>
      <c r="Q39" s="123">
        <v>1</v>
      </c>
    </row>
    <row r="40" spans="2:17" x14ac:dyDescent="0.2">
      <c r="L40" s="123">
        <v>37</v>
      </c>
      <c r="M40" s="170">
        <v>34684458</v>
      </c>
      <c r="N40" s="170">
        <v>34694457</v>
      </c>
      <c r="O40" s="123" t="s">
        <v>716</v>
      </c>
      <c r="P40" s="123">
        <v>103</v>
      </c>
      <c r="Q40" s="123">
        <v>1</v>
      </c>
    </row>
    <row r="41" spans="2:17" x14ac:dyDescent="0.2">
      <c r="L41" s="123">
        <v>38</v>
      </c>
      <c r="M41" s="170">
        <v>34694458</v>
      </c>
      <c r="N41" s="170">
        <v>34704457</v>
      </c>
      <c r="O41" s="123" t="s">
        <v>716</v>
      </c>
      <c r="P41" s="123">
        <v>102</v>
      </c>
      <c r="Q41" s="123">
        <v>1</v>
      </c>
    </row>
    <row r="42" spans="2:17" x14ac:dyDescent="0.2">
      <c r="L42" s="123">
        <v>39</v>
      </c>
      <c r="M42" s="170">
        <v>34704458</v>
      </c>
      <c r="N42" s="170">
        <v>34712457</v>
      </c>
      <c r="O42" s="123" t="s">
        <v>716</v>
      </c>
      <c r="P42" s="123">
        <v>102</v>
      </c>
      <c r="Q42" s="123">
        <v>1</v>
      </c>
    </row>
    <row r="43" spans="2:17" x14ac:dyDescent="0.2">
      <c r="L43" s="123">
        <v>40</v>
      </c>
      <c r="M43" s="170">
        <v>34712458</v>
      </c>
      <c r="N43" s="170">
        <v>34722461</v>
      </c>
      <c r="O43" s="123" t="s">
        <v>716</v>
      </c>
      <c r="P43" s="123">
        <v>102</v>
      </c>
      <c r="Q43" s="123">
        <v>1</v>
      </c>
    </row>
    <row r="44" spans="2:17" x14ac:dyDescent="0.2">
      <c r="L44" s="123">
        <v>41</v>
      </c>
      <c r="M44" s="169">
        <v>34722462</v>
      </c>
      <c r="N44" s="169">
        <v>34921717</v>
      </c>
      <c r="O44" s="123" t="s">
        <v>716</v>
      </c>
      <c r="P44" s="123">
        <v>104</v>
      </c>
      <c r="Q44" s="123">
        <v>1</v>
      </c>
    </row>
    <row r="45" spans="2:17" x14ac:dyDescent="0.2">
      <c r="L45" s="123">
        <v>42</v>
      </c>
      <c r="M45" s="169">
        <v>34921718</v>
      </c>
      <c r="N45" s="169">
        <v>35558075</v>
      </c>
      <c r="O45" s="123" t="s">
        <v>716</v>
      </c>
      <c r="P45" s="123">
        <v>294</v>
      </c>
      <c r="Q45" s="123">
        <v>4</v>
      </c>
    </row>
    <row r="46" spans="2:17" x14ac:dyDescent="0.2">
      <c r="L46" s="123">
        <v>43</v>
      </c>
      <c r="M46" s="169">
        <v>35558076</v>
      </c>
      <c r="N46" s="169">
        <v>40058774</v>
      </c>
      <c r="O46" s="123" t="s">
        <v>716</v>
      </c>
      <c r="P46" s="123">
        <v>357</v>
      </c>
      <c r="Q46" s="123">
        <v>5</v>
      </c>
    </row>
    <row r="47" spans="2:17" x14ac:dyDescent="0.2">
      <c r="L47" s="123">
        <v>44</v>
      </c>
      <c r="M47" s="169">
        <v>40058775</v>
      </c>
      <c r="N47" s="169">
        <v>40361801</v>
      </c>
      <c r="O47" s="123" t="s">
        <v>716</v>
      </c>
      <c r="P47" s="123">
        <v>236</v>
      </c>
      <c r="Q47" s="123">
        <v>3</v>
      </c>
    </row>
    <row r="48" spans="2:17" x14ac:dyDescent="0.2">
      <c r="L48" s="123">
        <v>45</v>
      </c>
      <c r="M48" s="169">
        <v>40361802</v>
      </c>
      <c r="N48" s="169">
        <v>40685840</v>
      </c>
      <c r="O48" s="123" t="s">
        <v>716</v>
      </c>
      <c r="P48" s="123">
        <v>236</v>
      </c>
      <c r="Q48" s="123">
        <v>3</v>
      </c>
    </row>
    <row r="49" spans="12:17" x14ac:dyDescent="0.2">
      <c r="L49" s="123">
        <v>46</v>
      </c>
      <c r="M49" s="169">
        <v>40685841</v>
      </c>
      <c r="N49" s="169">
        <v>41024229</v>
      </c>
      <c r="O49" s="123" t="s">
        <v>716</v>
      </c>
      <c r="P49" s="123">
        <v>233</v>
      </c>
      <c r="Q49" s="123">
        <v>3</v>
      </c>
    </row>
    <row r="50" spans="12:17" x14ac:dyDescent="0.2">
      <c r="L50" s="123">
        <v>47</v>
      </c>
      <c r="M50" s="169">
        <v>41024230</v>
      </c>
      <c r="N50" s="169">
        <v>41684435</v>
      </c>
      <c r="O50" s="123" t="s">
        <v>716</v>
      </c>
      <c r="P50" s="123">
        <v>423</v>
      </c>
      <c r="Q50" s="123">
        <v>6</v>
      </c>
    </row>
    <row r="51" spans="12:17" x14ac:dyDescent="0.2">
      <c r="L51" s="123">
        <v>48</v>
      </c>
      <c r="M51" s="169">
        <v>41684436</v>
      </c>
      <c r="N51" s="169">
        <v>49999999</v>
      </c>
      <c r="O51" s="175" t="s">
        <v>716</v>
      </c>
      <c r="P51" s="123">
        <v>473</v>
      </c>
      <c r="Q51" s="123">
        <v>7</v>
      </c>
    </row>
  </sheetData>
  <sheetProtection password="DA0F" sheet="1" objects="1" scenarios="1"/>
  <mergeCells count="3">
    <mergeCell ref="C2:D2"/>
    <mergeCell ref="G2:H2"/>
    <mergeCell ref="M3:N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51"/>
  <sheetViews>
    <sheetView topLeftCell="F1" zoomScale="90" zoomScaleNormal="90" workbookViewId="0">
      <selection activeCell="Z26" sqref="Z26"/>
    </sheetView>
  </sheetViews>
  <sheetFormatPr baseColWidth="10" defaultRowHeight="12.75" x14ac:dyDescent="0.2"/>
  <cols>
    <col min="1" max="1" width="3.7109375" customWidth="1"/>
    <col min="2" max="2" width="13.140625" customWidth="1"/>
    <col min="3" max="3" width="15.28515625" hidden="1" customWidth="1"/>
    <col min="4" max="4" width="43.28515625" hidden="1" customWidth="1"/>
    <col min="5" max="5" width="15.42578125" customWidth="1"/>
    <col min="6" max="6" width="3.7109375" customWidth="1"/>
    <col min="7" max="7" width="13" bestFit="1" customWidth="1"/>
    <col min="8" max="9" width="0" hidden="1" customWidth="1"/>
    <col min="10" max="10" width="14.42578125" bestFit="1" customWidth="1"/>
    <col min="11" max="11" width="3.7109375" customWidth="1"/>
    <col min="12" max="12" width="13.42578125" bestFit="1" customWidth="1"/>
    <col min="13" max="13" width="14.42578125" bestFit="1" customWidth="1"/>
    <col min="14" max="14" width="3.7109375" customWidth="1"/>
    <col min="15" max="15" width="13" bestFit="1" customWidth="1"/>
    <col min="16" max="16" width="14.42578125" bestFit="1" customWidth="1"/>
    <col min="17" max="17" width="3.7109375" customWidth="1"/>
    <col min="18" max="18" width="13" bestFit="1" customWidth="1"/>
    <col min="19" max="19" width="3.7109375" customWidth="1"/>
    <col min="20" max="20" width="13" bestFit="1" customWidth="1"/>
    <col min="21" max="21" width="3.7109375" customWidth="1"/>
    <col min="22" max="22" width="13" bestFit="1" customWidth="1"/>
    <col min="23" max="23" width="3.7109375" customWidth="1"/>
    <col min="24" max="24" width="13" bestFit="1" customWidth="1"/>
    <col min="25" max="25" width="3.7109375" customWidth="1"/>
    <col min="26" max="26" width="13" bestFit="1" customWidth="1"/>
    <col min="27" max="27" width="3.7109375" customWidth="1"/>
    <col min="28" max="28" width="13" bestFit="1" customWidth="1"/>
  </cols>
  <sheetData>
    <row r="1" spans="2:28" ht="13.5" thickBot="1" x14ac:dyDescent="0.25"/>
    <row r="2" spans="2:28" ht="40.5" customHeight="1" thickBot="1" x14ac:dyDescent="0.25">
      <c r="B2" s="280" t="s">
        <v>259</v>
      </c>
      <c r="C2" s="281"/>
      <c r="D2" s="281"/>
      <c r="E2" s="282"/>
      <c r="G2" s="280" t="s">
        <v>263</v>
      </c>
      <c r="H2" s="281"/>
      <c r="I2" s="281"/>
      <c r="J2" s="282"/>
      <c r="L2" s="280" t="s">
        <v>324</v>
      </c>
      <c r="M2" s="282"/>
      <c r="O2" s="280" t="s">
        <v>326</v>
      </c>
      <c r="P2" s="282"/>
      <c r="R2" s="88" t="s">
        <v>365</v>
      </c>
      <c r="T2" s="88" t="s">
        <v>444</v>
      </c>
      <c r="V2" s="88" t="s">
        <v>503</v>
      </c>
      <c r="X2" s="88" t="s">
        <v>509</v>
      </c>
      <c r="Z2" s="88" t="s">
        <v>873</v>
      </c>
      <c r="AB2" s="88" t="s">
        <v>1076</v>
      </c>
    </row>
    <row r="3" spans="2:28" x14ac:dyDescent="0.2">
      <c r="B3" s="82" t="s">
        <v>225</v>
      </c>
      <c r="C3">
        <v>4119573</v>
      </c>
      <c r="D3" t="s">
        <v>231</v>
      </c>
      <c r="E3" s="81" t="s">
        <v>230</v>
      </c>
      <c r="G3" s="84" t="s">
        <v>260</v>
      </c>
      <c r="H3">
        <v>4119573</v>
      </c>
      <c r="I3" s="18" t="s">
        <v>272</v>
      </c>
      <c r="J3" s="81" t="s">
        <v>230</v>
      </c>
      <c r="L3" s="84" t="s">
        <v>1090</v>
      </c>
      <c r="M3" s="81" t="s">
        <v>230</v>
      </c>
      <c r="O3" s="87" t="s">
        <v>327</v>
      </c>
      <c r="R3" s="84" t="s">
        <v>369</v>
      </c>
      <c r="T3" s="87" t="s">
        <v>414</v>
      </c>
      <c r="V3" s="87" t="s">
        <v>456</v>
      </c>
      <c r="X3" s="87" t="s">
        <v>723</v>
      </c>
      <c r="Z3" s="87" t="s">
        <v>874</v>
      </c>
      <c r="AB3" s="87" t="s">
        <v>1077</v>
      </c>
    </row>
    <row r="4" spans="2:28" x14ac:dyDescent="0.2">
      <c r="B4" s="82" t="s">
        <v>226</v>
      </c>
      <c r="C4">
        <v>4119573</v>
      </c>
      <c r="D4" t="s">
        <v>222</v>
      </c>
      <c r="G4" s="85" t="s">
        <v>261</v>
      </c>
      <c r="H4">
        <v>4119573</v>
      </c>
      <c r="I4" t="s">
        <v>262</v>
      </c>
      <c r="L4" s="85" t="s">
        <v>287</v>
      </c>
      <c r="M4" s="81" t="s">
        <v>230</v>
      </c>
      <c r="O4" s="82" t="s">
        <v>328</v>
      </c>
      <c r="R4" s="85" t="s">
        <v>370</v>
      </c>
      <c r="T4" s="82" t="s">
        <v>415</v>
      </c>
      <c r="V4" s="82" t="s">
        <v>457</v>
      </c>
      <c r="X4" s="82" t="s">
        <v>724</v>
      </c>
      <c r="Z4" s="82" t="s">
        <v>875</v>
      </c>
      <c r="AB4" s="82" t="s">
        <v>1078</v>
      </c>
    </row>
    <row r="5" spans="2:28" x14ac:dyDescent="0.2">
      <c r="B5" s="82" t="s">
        <v>227</v>
      </c>
      <c r="C5">
        <v>4119573</v>
      </c>
      <c r="D5" t="s">
        <v>223</v>
      </c>
      <c r="G5" s="85" t="s">
        <v>288</v>
      </c>
      <c r="H5">
        <v>4119573</v>
      </c>
      <c r="I5" t="s">
        <v>264</v>
      </c>
      <c r="L5" s="82" t="s">
        <v>274</v>
      </c>
      <c r="O5" s="82" t="s">
        <v>337</v>
      </c>
      <c r="R5" s="85" t="s">
        <v>371</v>
      </c>
      <c r="T5" s="82" t="s">
        <v>416</v>
      </c>
      <c r="V5" s="82" t="s">
        <v>458</v>
      </c>
      <c r="X5" s="82" t="s">
        <v>725</v>
      </c>
      <c r="Z5" s="82" t="s">
        <v>876</v>
      </c>
      <c r="AB5" s="82" t="s">
        <v>1079</v>
      </c>
    </row>
    <row r="6" spans="2:28" x14ac:dyDescent="0.2">
      <c r="B6" s="82" t="s">
        <v>228</v>
      </c>
      <c r="C6">
        <v>4119573</v>
      </c>
      <c r="D6" s="18" t="s">
        <v>232</v>
      </c>
      <c r="E6" s="81" t="s">
        <v>230</v>
      </c>
      <c r="G6" s="85" t="s">
        <v>265</v>
      </c>
      <c r="H6">
        <v>4119573</v>
      </c>
      <c r="I6" t="s">
        <v>266</v>
      </c>
      <c r="L6" s="82" t="s">
        <v>275</v>
      </c>
      <c r="O6" s="82" t="s">
        <v>338</v>
      </c>
      <c r="R6" s="85" t="s">
        <v>372</v>
      </c>
      <c r="T6" s="82" t="s">
        <v>417</v>
      </c>
      <c r="V6" s="82" t="s">
        <v>459</v>
      </c>
      <c r="X6" s="82" t="s">
        <v>726</v>
      </c>
      <c r="Z6" s="82" t="s">
        <v>895</v>
      </c>
      <c r="AB6" s="82" t="s">
        <v>1080</v>
      </c>
    </row>
    <row r="7" spans="2:28" x14ac:dyDescent="0.2">
      <c r="B7" s="82" t="s">
        <v>229</v>
      </c>
      <c r="C7">
        <v>4119573</v>
      </c>
      <c r="D7" t="s">
        <v>224</v>
      </c>
      <c r="G7" s="85" t="s">
        <v>267</v>
      </c>
      <c r="H7" s="18" t="s">
        <v>268</v>
      </c>
      <c r="I7" t="s">
        <v>269</v>
      </c>
      <c r="L7" s="82" t="s">
        <v>276</v>
      </c>
      <c r="O7" s="82" t="s">
        <v>329</v>
      </c>
      <c r="R7" s="85" t="s">
        <v>373</v>
      </c>
      <c r="T7" s="82" t="s">
        <v>418</v>
      </c>
      <c r="V7" s="82" t="s">
        <v>460</v>
      </c>
      <c r="X7" s="82" t="s">
        <v>727</v>
      </c>
      <c r="Z7" s="82" t="s">
        <v>896</v>
      </c>
      <c r="AB7" s="82" t="s">
        <v>1081</v>
      </c>
    </row>
    <row r="8" spans="2:28" ht="13.5" thickBot="1" x14ac:dyDescent="0.25">
      <c r="B8" s="82" t="s">
        <v>233</v>
      </c>
      <c r="G8" s="86" t="s">
        <v>270</v>
      </c>
      <c r="H8" s="18" t="s">
        <v>268</v>
      </c>
      <c r="I8" s="18" t="s">
        <v>271</v>
      </c>
      <c r="L8" s="82" t="s">
        <v>277</v>
      </c>
      <c r="O8" s="82" t="s">
        <v>330</v>
      </c>
      <c r="P8" s="81" t="s">
        <v>230</v>
      </c>
      <c r="R8" s="85" t="s">
        <v>374</v>
      </c>
      <c r="T8" s="82" t="s">
        <v>419</v>
      </c>
      <c r="V8" s="82" t="s">
        <v>461</v>
      </c>
      <c r="X8" s="82" t="s">
        <v>728</v>
      </c>
      <c r="Z8" s="82" t="s">
        <v>897</v>
      </c>
      <c r="AB8" s="82" t="s">
        <v>1082</v>
      </c>
    </row>
    <row r="9" spans="2:28" x14ac:dyDescent="0.2">
      <c r="B9" s="82" t="s">
        <v>234</v>
      </c>
      <c r="L9" s="82" t="s">
        <v>278</v>
      </c>
      <c r="O9" s="82" t="s">
        <v>339</v>
      </c>
      <c r="R9" s="85" t="s">
        <v>376</v>
      </c>
      <c r="T9" s="82" t="s">
        <v>420</v>
      </c>
      <c r="V9" s="82" t="s">
        <v>462</v>
      </c>
      <c r="X9" s="82" t="s">
        <v>729</v>
      </c>
      <c r="Z9" s="82" t="s">
        <v>898</v>
      </c>
      <c r="AB9" s="82" t="s">
        <v>1083</v>
      </c>
    </row>
    <row r="10" spans="2:28" x14ac:dyDescent="0.2">
      <c r="B10" s="82" t="s">
        <v>235</v>
      </c>
      <c r="L10" s="82" t="s">
        <v>279</v>
      </c>
      <c r="O10" s="82" t="s">
        <v>330</v>
      </c>
      <c r="R10" s="85" t="s">
        <v>375</v>
      </c>
      <c r="T10" s="82" t="s">
        <v>421</v>
      </c>
      <c r="V10" s="82" t="s">
        <v>397</v>
      </c>
      <c r="X10" s="82" t="s">
        <v>730</v>
      </c>
      <c r="Z10" s="82" t="s">
        <v>1066</v>
      </c>
      <c r="AB10" s="82" t="s">
        <v>1084</v>
      </c>
    </row>
    <row r="11" spans="2:28" x14ac:dyDescent="0.2">
      <c r="B11" s="82" t="s">
        <v>236</v>
      </c>
      <c r="L11" s="82" t="s">
        <v>280</v>
      </c>
      <c r="O11" s="82" t="s">
        <v>331</v>
      </c>
      <c r="R11" s="85" t="s">
        <v>377</v>
      </c>
      <c r="T11" s="82" t="s">
        <v>422</v>
      </c>
      <c r="V11" s="82" t="s">
        <v>463</v>
      </c>
      <c r="X11" s="82" t="s">
        <v>731</v>
      </c>
      <c r="Z11" s="82" t="s">
        <v>1067</v>
      </c>
      <c r="AB11" s="82" t="s">
        <v>1085</v>
      </c>
    </row>
    <row r="12" spans="2:28" x14ac:dyDescent="0.2">
      <c r="B12" s="82" t="s">
        <v>237</v>
      </c>
      <c r="L12" s="82" t="s">
        <v>281</v>
      </c>
      <c r="O12" s="82" t="s">
        <v>332</v>
      </c>
      <c r="R12" s="85" t="s">
        <v>378</v>
      </c>
      <c r="T12" s="82" t="s">
        <v>423</v>
      </c>
      <c r="V12" s="82" t="s">
        <v>464</v>
      </c>
      <c r="X12" s="82" t="s">
        <v>732</v>
      </c>
      <c r="Z12" s="82" t="s">
        <v>1068</v>
      </c>
      <c r="AB12" s="82" t="s">
        <v>1086</v>
      </c>
    </row>
    <row r="13" spans="2:28" x14ac:dyDescent="0.2">
      <c r="B13" s="82" t="s">
        <v>238</v>
      </c>
      <c r="L13" s="82" t="s">
        <v>282</v>
      </c>
      <c r="O13" s="82" t="s">
        <v>333</v>
      </c>
      <c r="R13" s="85" t="s">
        <v>379</v>
      </c>
      <c r="T13" s="82" t="s">
        <v>424</v>
      </c>
      <c r="V13" s="82" t="s">
        <v>465</v>
      </c>
      <c r="X13" s="82" t="s">
        <v>733</v>
      </c>
      <c r="Z13" s="82" t="s">
        <v>1069</v>
      </c>
      <c r="AB13" s="82" t="s">
        <v>1087</v>
      </c>
    </row>
    <row r="14" spans="2:28" x14ac:dyDescent="0.2">
      <c r="B14" s="82" t="s">
        <v>239</v>
      </c>
      <c r="L14" s="82" t="s">
        <v>283</v>
      </c>
      <c r="O14" s="82" t="s">
        <v>285</v>
      </c>
      <c r="R14" s="85" t="s">
        <v>380</v>
      </c>
      <c r="T14" s="82" t="s">
        <v>425</v>
      </c>
      <c r="V14" s="82" t="s">
        <v>466</v>
      </c>
      <c r="X14" s="82" t="s">
        <v>734</v>
      </c>
      <c r="Z14" s="82" t="s">
        <v>1070</v>
      </c>
      <c r="AB14" s="82" t="s">
        <v>1088</v>
      </c>
    </row>
    <row r="15" spans="2:28" x14ac:dyDescent="0.2">
      <c r="B15" s="82" t="s">
        <v>240</v>
      </c>
      <c r="L15" s="82" t="s">
        <v>284</v>
      </c>
      <c r="O15" s="82" t="s">
        <v>334</v>
      </c>
      <c r="R15" s="85" t="s">
        <v>381</v>
      </c>
      <c r="T15" s="82" t="s">
        <v>426</v>
      </c>
      <c r="V15" s="82" t="s">
        <v>440</v>
      </c>
      <c r="X15" s="82" t="s">
        <v>735</v>
      </c>
      <c r="Z15" s="82" t="s">
        <v>1071</v>
      </c>
      <c r="AB15" s="82" t="s">
        <v>1089</v>
      </c>
    </row>
    <row r="16" spans="2:28" x14ac:dyDescent="0.2">
      <c r="B16" s="82" t="s">
        <v>241</v>
      </c>
      <c r="L16" s="82" t="s">
        <v>285</v>
      </c>
      <c r="O16" s="82" t="s">
        <v>335</v>
      </c>
      <c r="R16" s="85" t="s">
        <v>382</v>
      </c>
      <c r="T16" s="82" t="s">
        <v>427</v>
      </c>
      <c r="V16" s="82" t="s">
        <v>441</v>
      </c>
      <c r="X16" s="82" t="s">
        <v>736</v>
      </c>
      <c r="Z16" s="82" t="s">
        <v>1072</v>
      </c>
      <c r="AB16" s="82"/>
    </row>
    <row r="17" spans="2:28" x14ac:dyDescent="0.2">
      <c r="B17" s="82" t="s">
        <v>242</v>
      </c>
      <c r="L17" s="82" t="s">
        <v>286</v>
      </c>
      <c r="O17" s="82" t="s">
        <v>336</v>
      </c>
      <c r="R17" s="85" t="s">
        <v>383</v>
      </c>
      <c r="T17" s="82" t="s">
        <v>428</v>
      </c>
      <c r="V17" s="82" t="s">
        <v>467</v>
      </c>
      <c r="X17" s="82" t="s">
        <v>737</v>
      </c>
      <c r="Z17" s="82" t="s">
        <v>1073</v>
      </c>
      <c r="AB17" s="82"/>
    </row>
    <row r="18" spans="2:28" x14ac:dyDescent="0.2">
      <c r="B18" s="82" t="s">
        <v>243</v>
      </c>
      <c r="L18" s="82" t="s">
        <v>289</v>
      </c>
      <c r="O18" s="82" t="s">
        <v>340</v>
      </c>
      <c r="R18" s="85" t="s">
        <v>329</v>
      </c>
      <c r="T18" s="82" t="s">
        <v>429</v>
      </c>
      <c r="V18" s="82" t="s">
        <v>468</v>
      </c>
      <c r="X18" s="82" t="s">
        <v>738</v>
      </c>
      <c r="Z18" s="82" t="s">
        <v>1074</v>
      </c>
      <c r="AB18" s="82"/>
    </row>
    <row r="19" spans="2:28" ht="13.5" thickBot="1" x14ac:dyDescent="0.25">
      <c r="B19" s="82" t="s">
        <v>244</v>
      </c>
      <c r="L19" s="82" t="s">
        <v>290</v>
      </c>
      <c r="O19" s="82" t="s">
        <v>341</v>
      </c>
      <c r="R19" s="85" t="s">
        <v>384</v>
      </c>
      <c r="T19" s="82" t="s">
        <v>430</v>
      </c>
      <c r="V19" s="82" t="s">
        <v>469</v>
      </c>
      <c r="X19" s="82" t="s">
        <v>739</v>
      </c>
      <c r="Z19" s="83" t="s">
        <v>1075</v>
      </c>
      <c r="AB19" s="83" t="s">
        <v>1091</v>
      </c>
    </row>
    <row r="20" spans="2:28" x14ac:dyDescent="0.2">
      <c r="B20" s="82" t="s">
        <v>245</v>
      </c>
      <c r="L20" s="82" t="s">
        <v>291</v>
      </c>
      <c r="O20" s="82" t="s">
        <v>342</v>
      </c>
      <c r="R20" s="85" t="s">
        <v>385</v>
      </c>
      <c r="T20" s="82" t="s">
        <v>431</v>
      </c>
      <c r="V20" s="82" t="s">
        <v>470</v>
      </c>
      <c r="X20" s="82" t="s">
        <v>740</v>
      </c>
    </row>
    <row r="21" spans="2:28" x14ac:dyDescent="0.2">
      <c r="B21" s="82" t="s">
        <v>246</v>
      </c>
      <c r="L21" s="82" t="s">
        <v>292</v>
      </c>
      <c r="O21" s="82" t="s">
        <v>343</v>
      </c>
      <c r="R21" s="85" t="s">
        <v>386</v>
      </c>
      <c r="T21" s="82" t="s">
        <v>432</v>
      </c>
      <c r="V21" s="82" t="s">
        <v>471</v>
      </c>
      <c r="X21" s="82" t="s">
        <v>741</v>
      </c>
    </row>
    <row r="22" spans="2:28" x14ac:dyDescent="0.2">
      <c r="B22" s="82" t="s">
        <v>247</v>
      </c>
      <c r="L22" s="82" t="s">
        <v>293</v>
      </c>
      <c r="O22" s="82" t="s">
        <v>344</v>
      </c>
      <c r="R22" s="85" t="s">
        <v>387</v>
      </c>
      <c r="T22" s="82" t="s">
        <v>433</v>
      </c>
      <c r="V22" s="82" t="s">
        <v>472</v>
      </c>
      <c r="X22" s="82" t="s">
        <v>742</v>
      </c>
    </row>
    <row r="23" spans="2:28" x14ac:dyDescent="0.2">
      <c r="B23" s="82" t="s">
        <v>248</v>
      </c>
      <c r="L23" s="82" t="s">
        <v>294</v>
      </c>
      <c r="O23" s="82" t="s">
        <v>345</v>
      </c>
      <c r="R23" s="85" t="s">
        <v>388</v>
      </c>
      <c r="T23" s="82" t="s">
        <v>434</v>
      </c>
      <c r="V23" s="82" t="s">
        <v>475</v>
      </c>
      <c r="X23" s="82" t="s">
        <v>743</v>
      </c>
    </row>
    <row r="24" spans="2:28" x14ac:dyDescent="0.2">
      <c r="B24" s="82" t="s">
        <v>249</v>
      </c>
      <c r="L24" s="82" t="s">
        <v>295</v>
      </c>
      <c r="O24" s="82" t="s">
        <v>346</v>
      </c>
      <c r="R24" s="85" t="s">
        <v>389</v>
      </c>
      <c r="T24" s="82" t="s">
        <v>435</v>
      </c>
      <c r="V24" s="82" t="s">
        <v>476</v>
      </c>
      <c r="X24" s="82" t="s">
        <v>744</v>
      </c>
    </row>
    <row r="25" spans="2:28" x14ac:dyDescent="0.2">
      <c r="B25" s="82" t="s">
        <v>250</v>
      </c>
      <c r="L25" s="82" t="s">
        <v>296</v>
      </c>
      <c r="O25" s="82" t="s">
        <v>347</v>
      </c>
      <c r="R25" s="85" t="s">
        <v>390</v>
      </c>
      <c r="T25" s="82" t="s">
        <v>436</v>
      </c>
      <c r="V25" s="82" t="s">
        <v>477</v>
      </c>
      <c r="X25" s="82" t="s">
        <v>745</v>
      </c>
    </row>
    <row r="26" spans="2:28" x14ac:dyDescent="0.2">
      <c r="B26" s="82" t="s">
        <v>251</v>
      </c>
      <c r="L26" s="85" t="s">
        <v>297</v>
      </c>
      <c r="O26" s="82" t="s">
        <v>348</v>
      </c>
      <c r="R26" s="85" t="s">
        <v>391</v>
      </c>
      <c r="T26" s="82" t="s">
        <v>437</v>
      </c>
      <c r="V26" s="82" t="s">
        <v>478</v>
      </c>
      <c r="X26" s="82" t="s">
        <v>746</v>
      </c>
    </row>
    <row r="27" spans="2:28" x14ac:dyDescent="0.2">
      <c r="B27" s="82" t="s">
        <v>252</v>
      </c>
      <c r="L27" s="85" t="s">
        <v>299</v>
      </c>
      <c r="O27" s="82" t="s">
        <v>349</v>
      </c>
      <c r="R27" s="85" t="s">
        <v>392</v>
      </c>
      <c r="T27" s="82" t="s">
        <v>438</v>
      </c>
      <c r="V27" s="82" t="s">
        <v>479</v>
      </c>
      <c r="X27" s="82" t="s">
        <v>747</v>
      </c>
    </row>
    <row r="28" spans="2:28" x14ac:dyDescent="0.2">
      <c r="B28" s="82" t="s">
        <v>253</v>
      </c>
      <c r="L28" s="85" t="s">
        <v>300</v>
      </c>
      <c r="O28" s="82" t="s">
        <v>350</v>
      </c>
      <c r="R28" s="85" t="s">
        <v>393</v>
      </c>
      <c r="T28" s="82" t="s">
        <v>439</v>
      </c>
      <c r="V28" s="82" t="s">
        <v>480</v>
      </c>
      <c r="X28" s="82" t="s">
        <v>748</v>
      </c>
    </row>
    <row r="29" spans="2:28" x14ac:dyDescent="0.2">
      <c r="B29" s="82" t="s">
        <v>254</v>
      </c>
      <c r="L29" s="85" t="s">
        <v>301</v>
      </c>
      <c r="O29" s="82" t="s">
        <v>351</v>
      </c>
      <c r="R29" s="82" t="s">
        <v>394</v>
      </c>
      <c r="T29" s="82" t="s">
        <v>440</v>
      </c>
      <c r="V29" s="82" t="s">
        <v>481</v>
      </c>
      <c r="X29" s="82" t="s">
        <v>749</v>
      </c>
    </row>
    <row r="30" spans="2:28" x14ac:dyDescent="0.2">
      <c r="B30" s="82" t="s">
        <v>255</v>
      </c>
      <c r="L30" s="85" t="s">
        <v>302</v>
      </c>
      <c r="O30" s="82" t="s">
        <v>352</v>
      </c>
      <c r="R30" s="82" t="s">
        <v>395</v>
      </c>
      <c r="T30" s="82" t="s">
        <v>441</v>
      </c>
      <c r="V30" s="82" t="s">
        <v>482</v>
      </c>
      <c r="X30" s="82" t="s">
        <v>750</v>
      </c>
    </row>
    <row r="31" spans="2:28" x14ac:dyDescent="0.2">
      <c r="B31" s="82" t="s">
        <v>256</v>
      </c>
      <c r="L31" s="85" t="s">
        <v>303</v>
      </c>
      <c r="O31" s="82" t="s">
        <v>353</v>
      </c>
      <c r="R31" s="82" t="s">
        <v>396</v>
      </c>
      <c r="T31" s="82" t="s">
        <v>442</v>
      </c>
      <c r="V31" s="82" t="s">
        <v>483</v>
      </c>
      <c r="X31" s="82" t="s">
        <v>751</v>
      </c>
    </row>
    <row r="32" spans="2:28" x14ac:dyDescent="0.2">
      <c r="B32" s="82" t="s">
        <v>257</v>
      </c>
      <c r="L32" s="85" t="s">
        <v>304</v>
      </c>
      <c r="O32" s="82" t="s">
        <v>354</v>
      </c>
      <c r="R32" s="82" t="s">
        <v>397</v>
      </c>
      <c r="T32" s="82" t="s">
        <v>443</v>
      </c>
      <c r="V32" s="82" t="s">
        <v>484</v>
      </c>
      <c r="X32" s="82" t="s">
        <v>752</v>
      </c>
    </row>
    <row r="33" spans="2:24" ht="13.5" thickBot="1" x14ac:dyDescent="0.25">
      <c r="B33" s="83" t="s">
        <v>258</v>
      </c>
      <c r="L33" s="85" t="s">
        <v>305</v>
      </c>
      <c r="O33" s="82" t="s">
        <v>355</v>
      </c>
      <c r="R33" s="82" t="s">
        <v>398</v>
      </c>
      <c r="T33" s="82" t="s">
        <v>445</v>
      </c>
      <c r="V33" s="82" t="s">
        <v>485</v>
      </c>
      <c r="X33" s="82" t="s">
        <v>753</v>
      </c>
    </row>
    <row r="34" spans="2:24" x14ac:dyDescent="0.2">
      <c r="L34" s="85" t="s">
        <v>306</v>
      </c>
      <c r="O34" s="82" t="s">
        <v>356</v>
      </c>
      <c r="R34" s="82" t="s">
        <v>399</v>
      </c>
      <c r="T34" s="82" t="s">
        <v>446</v>
      </c>
      <c r="V34" s="82" t="s">
        <v>486</v>
      </c>
      <c r="X34" s="82" t="s">
        <v>754</v>
      </c>
    </row>
    <row r="35" spans="2:24" x14ac:dyDescent="0.2">
      <c r="L35" s="85" t="s">
        <v>307</v>
      </c>
      <c r="O35" s="82" t="s">
        <v>357</v>
      </c>
      <c r="R35" s="82" t="s">
        <v>400</v>
      </c>
      <c r="T35" s="82" t="s">
        <v>447</v>
      </c>
      <c r="V35" s="82" t="s">
        <v>487</v>
      </c>
      <c r="X35" s="82" t="s">
        <v>755</v>
      </c>
    </row>
    <row r="36" spans="2:24" x14ac:dyDescent="0.2">
      <c r="L36" s="85" t="s">
        <v>308</v>
      </c>
      <c r="O36" s="82" t="s">
        <v>358</v>
      </c>
      <c r="R36" s="82" t="s">
        <v>401</v>
      </c>
      <c r="T36" s="82" t="s">
        <v>448</v>
      </c>
      <c r="V36" s="82" t="s">
        <v>488</v>
      </c>
      <c r="X36" s="82" t="s">
        <v>756</v>
      </c>
    </row>
    <row r="37" spans="2:24" x14ac:dyDescent="0.2">
      <c r="L37" s="85" t="s">
        <v>309</v>
      </c>
      <c r="O37" s="82" t="s">
        <v>359</v>
      </c>
      <c r="R37" s="82" t="s">
        <v>402</v>
      </c>
      <c r="T37" s="82" t="s">
        <v>449</v>
      </c>
      <c r="V37" s="82" t="s">
        <v>489</v>
      </c>
      <c r="X37" s="82" t="s">
        <v>757</v>
      </c>
    </row>
    <row r="38" spans="2:24" x14ac:dyDescent="0.2">
      <c r="L38" s="85" t="s">
        <v>310</v>
      </c>
      <c r="O38" s="82" t="s">
        <v>360</v>
      </c>
      <c r="R38" s="82" t="s">
        <v>403</v>
      </c>
      <c r="T38" s="82" t="s">
        <v>450</v>
      </c>
      <c r="V38" s="82" t="s">
        <v>490</v>
      </c>
      <c r="X38" s="82" t="s">
        <v>758</v>
      </c>
    </row>
    <row r="39" spans="2:24" x14ac:dyDescent="0.2">
      <c r="L39" s="85" t="s">
        <v>311</v>
      </c>
      <c r="O39" s="82" t="s">
        <v>361</v>
      </c>
      <c r="R39" s="82" t="s">
        <v>404</v>
      </c>
      <c r="T39" s="82" t="s">
        <v>451</v>
      </c>
      <c r="V39" s="82" t="s">
        <v>491</v>
      </c>
      <c r="X39" s="82" t="s">
        <v>759</v>
      </c>
    </row>
    <row r="40" spans="2:24" x14ac:dyDescent="0.2">
      <c r="L40" s="85" t="s">
        <v>312</v>
      </c>
      <c r="O40" s="82" t="s">
        <v>362</v>
      </c>
      <c r="R40" s="82" t="s">
        <v>405</v>
      </c>
      <c r="T40" s="82" t="s">
        <v>452</v>
      </c>
      <c r="V40" s="82" t="s">
        <v>492</v>
      </c>
      <c r="X40" s="82" t="s">
        <v>760</v>
      </c>
    </row>
    <row r="41" spans="2:24" x14ac:dyDescent="0.2">
      <c r="L41" s="85" t="s">
        <v>313</v>
      </c>
      <c r="O41" s="82" t="s">
        <v>363</v>
      </c>
      <c r="R41" s="82" t="s">
        <v>406</v>
      </c>
      <c r="T41" s="82" t="s">
        <v>453</v>
      </c>
      <c r="V41" s="82" t="s">
        <v>493</v>
      </c>
      <c r="X41" s="82" t="s">
        <v>761</v>
      </c>
    </row>
    <row r="42" spans="2:24" ht="13.5" thickBot="1" x14ac:dyDescent="0.25">
      <c r="L42" s="85" t="s">
        <v>314</v>
      </c>
      <c r="O42" s="83" t="s">
        <v>364</v>
      </c>
      <c r="R42" s="82" t="s">
        <v>407</v>
      </c>
      <c r="T42" s="82" t="s">
        <v>454</v>
      </c>
      <c r="V42" s="82" t="s">
        <v>494</v>
      </c>
      <c r="X42" s="82" t="s">
        <v>762</v>
      </c>
    </row>
    <row r="43" spans="2:24" ht="13.5" thickBot="1" x14ac:dyDescent="0.25">
      <c r="L43" s="85" t="s">
        <v>315</v>
      </c>
      <c r="R43" s="82" t="s">
        <v>408</v>
      </c>
      <c r="T43" s="83" t="s">
        <v>455</v>
      </c>
      <c r="V43" s="82" t="s">
        <v>495</v>
      </c>
      <c r="X43" s="82" t="s">
        <v>763</v>
      </c>
    </row>
    <row r="44" spans="2:24" x14ac:dyDescent="0.2">
      <c r="L44" s="85" t="s">
        <v>316</v>
      </c>
      <c r="R44" s="82" t="s">
        <v>409</v>
      </c>
      <c r="V44" s="82" t="s">
        <v>496</v>
      </c>
      <c r="X44" s="82" t="s">
        <v>764</v>
      </c>
    </row>
    <row r="45" spans="2:24" ht="13.5" thickBot="1" x14ac:dyDescent="0.25">
      <c r="L45" s="85" t="s">
        <v>317</v>
      </c>
      <c r="R45" s="82" t="s">
        <v>410</v>
      </c>
      <c r="V45" s="82" t="s">
        <v>497</v>
      </c>
      <c r="X45" s="83" t="s">
        <v>765</v>
      </c>
    </row>
    <row r="46" spans="2:24" x14ac:dyDescent="0.2">
      <c r="L46" s="85" t="s">
        <v>318</v>
      </c>
      <c r="R46" s="82" t="s">
        <v>411</v>
      </c>
      <c r="V46" s="82" t="s">
        <v>498</v>
      </c>
    </row>
    <row r="47" spans="2:24" ht="13.5" thickBot="1" x14ac:dyDescent="0.25">
      <c r="L47" s="85" t="s">
        <v>319</v>
      </c>
      <c r="R47" s="83" t="s">
        <v>412</v>
      </c>
      <c r="V47" s="82" t="s">
        <v>499</v>
      </c>
    </row>
    <row r="48" spans="2:24" x14ac:dyDescent="0.2">
      <c r="L48" s="85" t="s">
        <v>320</v>
      </c>
      <c r="V48" s="82" t="s">
        <v>500</v>
      </c>
    </row>
    <row r="49" spans="12:22" x14ac:dyDescent="0.2">
      <c r="L49" s="85" t="s">
        <v>321</v>
      </c>
      <c r="V49" s="82" t="s">
        <v>501</v>
      </c>
    </row>
    <row r="50" spans="12:22" ht="13.5" thickBot="1" x14ac:dyDescent="0.25">
      <c r="L50" s="85" t="s">
        <v>322</v>
      </c>
      <c r="V50" s="83" t="s">
        <v>502</v>
      </c>
    </row>
    <row r="51" spans="12:22" ht="13.5" thickBot="1" x14ac:dyDescent="0.25">
      <c r="L51" s="86" t="s">
        <v>323</v>
      </c>
    </row>
  </sheetData>
  <sheetProtection password="DA0F" sheet="1" objects="1" scenarios="1"/>
  <mergeCells count="4">
    <mergeCell ref="B2:E2"/>
    <mergeCell ref="G2:J2"/>
    <mergeCell ref="L2:M2"/>
    <mergeCell ref="O2:P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5"/>
  <sheetViews>
    <sheetView workbookViewId="0">
      <selection activeCell="C337" sqref="C337"/>
    </sheetView>
  </sheetViews>
  <sheetFormatPr baseColWidth="10" defaultRowHeight="12.75" x14ac:dyDescent="0.2"/>
  <cols>
    <col min="1" max="1" width="12.140625" bestFit="1" customWidth="1"/>
  </cols>
  <sheetData>
    <row r="1" spans="1:1" ht="13.5" thickBot="1" x14ac:dyDescent="0.25">
      <c r="A1" s="87" t="s">
        <v>723</v>
      </c>
    </row>
    <row r="2" spans="1:1" ht="13.5" thickBot="1" x14ac:dyDescent="0.25">
      <c r="A2" s="87" t="s">
        <v>724</v>
      </c>
    </row>
    <row r="3" spans="1:1" ht="13.5" thickBot="1" x14ac:dyDescent="0.25">
      <c r="A3" s="87" t="s">
        <v>725</v>
      </c>
    </row>
    <row r="4" spans="1:1" ht="13.5" thickBot="1" x14ac:dyDescent="0.25">
      <c r="A4" s="87" t="s">
        <v>726</v>
      </c>
    </row>
    <row r="5" spans="1:1" ht="13.5" thickBot="1" x14ac:dyDescent="0.25">
      <c r="A5" s="87" t="s">
        <v>727</v>
      </c>
    </row>
    <row r="6" spans="1:1" ht="13.5" thickBot="1" x14ac:dyDescent="0.25">
      <c r="A6" s="87" t="s">
        <v>728</v>
      </c>
    </row>
    <row r="7" spans="1:1" ht="13.5" thickBot="1" x14ac:dyDescent="0.25">
      <c r="A7" s="87" t="s">
        <v>729</v>
      </c>
    </row>
    <row r="8" spans="1:1" ht="13.5" thickBot="1" x14ac:dyDescent="0.25">
      <c r="A8" s="87" t="s">
        <v>730</v>
      </c>
    </row>
    <row r="9" spans="1:1" ht="13.5" thickBot="1" x14ac:dyDescent="0.25">
      <c r="A9" s="87" t="s">
        <v>731</v>
      </c>
    </row>
    <row r="10" spans="1:1" ht="13.5" thickBot="1" x14ac:dyDescent="0.25">
      <c r="A10" s="87" t="s">
        <v>732</v>
      </c>
    </row>
    <row r="11" spans="1:1" ht="13.5" thickBot="1" x14ac:dyDescent="0.25">
      <c r="A11" s="87" t="s">
        <v>733</v>
      </c>
    </row>
    <row r="12" spans="1:1" ht="13.5" thickBot="1" x14ac:dyDescent="0.25">
      <c r="A12" s="87" t="s">
        <v>734</v>
      </c>
    </row>
    <row r="13" spans="1:1" ht="13.5" thickBot="1" x14ac:dyDescent="0.25">
      <c r="A13" s="87" t="s">
        <v>735</v>
      </c>
    </row>
    <row r="14" spans="1:1" ht="13.5" thickBot="1" x14ac:dyDescent="0.25">
      <c r="A14" s="87" t="s">
        <v>736</v>
      </c>
    </row>
    <row r="15" spans="1:1" ht="13.5" thickBot="1" x14ac:dyDescent="0.25">
      <c r="A15" s="87" t="s">
        <v>737</v>
      </c>
    </row>
    <row r="16" spans="1:1" ht="13.5" thickBot="1" x14ac:dyDescent="0.25">
      <c r="A16" s="87" t="s">
        <v>738</v>
      </c>
    </row>
    <row r="17" spans="1:1" ht="13.5" thickBot="1" x14ac:dyDescent="0.25">
      <c r="A17" s="87" t="s">
        <v>739</v>
      </c>
    </row>
    <row r="18" spans="1:1" ht="13.5" thickBot="1" x14ac:dyDescent="0.25">
      <c r="A18" s="87" t="s">
        <v>740</v>
      </c>
    </row>
    <row r="19" spans="1:1" ht="13.5" thickBot="1" x14ac:dyDescent="0.25">
      <c r="A19" s="87" t="s">
        <v>741</v>
      </c>
    </row>
    <row r="20" spans="1:1" ht="13.5" thickBot="1" x14ac:dyDescent="0.25">
      <c r="A20" s="87" t="s">
        <v>742</v>
      </c>
    </row>
    <row r="21" spans="1:1" ht="13.5" thickBot="1" x14ac:dyDescent="0.25">
      <c r="A21" s="87" t="s">
        <v>743</v>
      </c>
    </row>
    <row r="22" spans="1:1" ht="13.5" thickBot="1" x14ac:dyDescent="0.25">
      <c r="A22" s="87" t="s">
        <v>744</v>
      </c>
    </row>
    <row r="23" spans="1:1" ht="13.5" thickBot="1" x14ac:dyDescent="0.25">
      <c r="A23" s="87" t="s">
        <v>745</v>
      </c>
    </row>
    <row r="24" spans="1:1" ht="13.5" thickBot="1" x14ac:dyDescent="0.25">
      <c r="A24" s="87" t="s">
        <v>746</v>
      </c>
    </row>
    <row r="25" spans="1:1" ht="13.5" thickBot="1" x14ac:dyDescent="0.25">
      <c r="A25" s="87" t="s">
        <v>747</v>
      </c>
    </row>
    <row r="26" spans="1:1" ht="13.5" thickBot="1" x14ac:dyDescent="0.25">
      <c r="A26" s="87" t="s">
        <v>748</v>
      </c>
    </row>
    <row r="27" spans="1:1" ht="13.5" thickBot="1" x14ac:dyDescent="0.25">
      <c r="A27" s="87" t="s">
        <v>749</v>
      </c>
    </row>
    <row r="28" spans="1:1" ht="13.5" thickBot="1" x14ac:dyDescent="0.25">
      <c r="A28" s="87" t="s">
        <v>750</v>
      </c>
    </row>
    <row r="29" spans="1:1" ht="13.5" thickBot="1" x14ac:dyDescent="0.25">
      <c r="A29" s="87" t="s">
        <v>751</v>
      </c>
    </row>
    <row r="30" spans="1:1" ht="13.5" thickBot="1" x14ac:dyDescent="0.25">
      <c r="A30" s="87" t="s">
        <v>752</v>
      </c>
    </row>
    <row r="31" spans="1:1" ht="13.5" thickBot="1" x14ac:dyDescent="0.25">
      <c r="A31" s="87" t="s">
        <v>753</v>
      </c>
    </row>
    <row r="32" spans="1:1" ht="13.5" thickBot="1" x14ac:dyDescent="0.25">
      <c r="A32" s="87" t="s">
        <v>754</v>
      </c>
    </row>
    <row r="33" spans="1:1" ht="13.5" thickBot="1" x14ac:dyDescent="0.25">
      <c r="A33" s="87" t="s">
        <v>755</v>
      </c>
    </row>
    <row r="34" spans="1:1" ht="13.5" thickBot="1" x14ac:dyDescent="0.25">
      <c r="A34" s="87" t="s">
        <v>756</v>
      </c>
    </row>
    <row r="35" spans="1:1" ht="13.5" thickBot="1" x14ac:dyDescent="0.25">
      <c r="A35" s="87" t="s">
        <v>757</v>
      </c>
    </row>
    <row r="36" spans="1:1" ht="13.5" thickBot="1" x14ac:dyDescent="0.25">
      <c r="A36" s="87" t="s">
        <v>758</v>
      </c>
    </row>
    <row r="37" spans="1:1" ht="13.5" thickBot="1" x14ac:dyDescent="0.25">
      <c r="A37" s="87" t="s">
        <v>759</v>
      </c>
    </row>
    <row r="38" spans="1:1" ht="13.5" thickBot="1" x14ac:dyDescent="0.25">
      <c r="A38" s="87" t="s">
        <v>760</v>
      </c>
    </row>
    <row r="39" spans="1:1" ht="13.5" thickBot="1" x14ac:dyDescent="0.25">
      <c r="A39" s="87" t="s">
        <v>761</v>
      </c>
    </row>
    <row r="40" spans="1:1" ht="13.5" thickBot="1" x14ac:dyDescent="0.25">
      <c r="A40" s="87" t="s">
        <v>762</v>
      </c>
    </row>
    <row r="41" spans="1:1" ht="13.5" thickBot="1" x14ac:dyDescent="0.25">
      <c r="A41" s="87" t="s">
        <v>763</v>
      </c>
    </row>
    <row r="42" spans="1:1" ht="13.5" thickBot="1" x14ac:dyDescent="0.25">
      <c r="A42" s="87" t="s">
        <v>764</v>
      </c>
    </row>
    <row r="43" spans="1:1" ht="13.5" thickBot="1" x14ac:dyDescent="0.25">
      <c r="A43" s="87" t="s">
        <v>765</v>
      </c>
    </row>
    <row r="44" spans="1:1" x14ac:dyDescent="0.2">
      <c r="A44" s="87" t="s">
        <v>456</v>
      </c>
    </row>
    <row r="45" spans="1:1" x14ac:dyDescent="0.2">
      <c r="A45" s="82" t="s">
        <v>457</v>
      </c>
    </row>
    <row r="46" spans="1:1" x14ac:dyDescent="0.2">
      <c r="A46" s="82" t="s">
        <v>458</v>
      </c>
    </row>
    <row r="47" spans="1:1" x14ac:dyDescent="0.2">
      <c r="A47" s="82" t="s">
        <v>459</v>
      </c>
    </row>
    <row r="48" spans="1:1" x14ac:dyDescent="0.2">
      <c r="A48" s="82" t="s">
        <v>460</v>
      </c>
    </row>
    <row r="49" spans="1:1" x14ac:dyDescent="0.2">
      <c r="A49" s="82" t="s">
        <v>461</v>
      </c>
    </row>
    <row r="50" spans="1:1" x14ac:dyDescent="0.2">
      <c r="A50" s="82" t="s">
        <v>462</v>
      </c>
    </row>
    <row r="51" spans="1:1" x14ac:dyDescent="0.2">
      <c r="A51" s="82" t="s">
        <v>397</v>
      </c>
    </row>
    <row r="52" spans="1:1" x14ac:dyDescent="0.2">
      <c r="A52" s="82" t="s">
        <v>463</v>
      </c>
    </row>
    <row r="53" spans="1:1" x14ac:dyDescent="0.2">
      <c r="A53" s="82" t="s">
        <v>464</v>
      </c>
    </row>
    <row r="54" spans="1:1" x14ac:dyDescent="0.2">
      <c r="A54" s="82" t="s">
        <v>465</v>
      </c>
    </row>
    <row r="55" spans="1:1" x14ac:dyDescent="0.2">
      <c r="A55" s="82" t="s">
        <v>466</v>
      </c>
    </row>
    <row r="56" spans="1:1" x14ac:dyDescent="0.2">
      <c r="A56" s="82" t="s">
        <v>440</v>
      </c>
    </row>
    <row r="57" spans="1:1" x14ac:dyDescent="0.2">
      <c r="A57" s="82" t="s">
        <v>441</v>
      </c>
    </row>
    <row r="58" spans="1:1" x14ac:dyDescent="0.2">
      <c r="A58" s="82" t="s">
        <v>467</v>
      </c>
    </row>
    <row r="59" spans="1:1" x14ac:dyDescent="0.2">
      <c r="A59" s="82" t="s">
        <v>468</v>
      </c>
    </row>
    <row r="60" spans="1:1" x14ac:dyDescent="0.2">
      <c r="A60" s="82" t="s">
        <v>469</v>
      </c>
    </row>
    <row r="61" spans="1:1" x14ac:dyDescent="0.2">
      <c r="A61" s="82" t="s">
        <v>470</v>
      </c>
    </row>
    <row r="62" spans="1:1" x14ac:dyDescent="0.2">
      <c r="A62" s="82" t="s">
        <v>471</v>
      </c>
    </row>
    <row r="63" spans="1:1" x14ac:dyDescent="0.2">
      <c r="A63" s="82" t="s">
        <v>472</v>
      </c>
    </row>
    <row r="64" spans="1:1" x14ac:dyDescent="0.2">
      <c r="A64" s="82" t="s">
        <v>475</v>
      </c>
    </row>
    <row r="65" spans="1:1" x14ac:dyDescent="0.2">
      <c r="A65" s="82" t="s">
        <v>476</v>
      </c>
    </row>
    <row r="66" spans="1:1" x14ac:dyDescent="0.2">
      <c r="A66" s="82" t="s">
        <v>477</v>
      </c>
    </row>
    <row r="67" spans="1:1" x14ac:dyDescent="0.2">
      <c r="A67" s="82" t="s">
        <v>478</v>
      </c>
    </row>
    <row r="68" spans="1:1" x14ac:dyDescent="0.2">
      <c r="A68" s="82" t="s">
        <v>479</v>
      </c>
    </row>
    <row r="69" spans="1:1" x14ac:dyDescent="0.2">
      <c r="A69" s="82" t="s">
        <v>480</v>
      </c>
    </row>
    <row r="70" spans="1:1" x14ac:dyDescent="0.2">
      <c r="A70" s="82" t="s">
        <v>481</v>
      </c>
    </row>
    <row r="71" spans="1:1" x14ac:dyDescent="0.2">
      <c r="A71" s="82" t="s">
        <v>482</v>
      </c>
    </row>
    <row r="72" spans="1:1" x14ac:dyDescent="0.2">
      <c r="A72" s="82" t="s">
        <v>483</v>
      </c>
    </row>
    <row r="73" spans="1:1" x14ac:dyDescent="0.2">
      <c r="A73" s="82" t="s">
        <v>484</v>
      </c>
    </row>
    <row r="74" spans="1:1" x14ac:dyDescent="0.2">
      <c r="A74" s="82" t="s">
        <v>485</v>
      </c>
    </row>
    <row r="75" spans="1:1" x14ac:dyDescent="0.2">
      <c r="A75" s="82" t="s">
        <v>486</v>
      </c>
    </row>
    <row r="76" spans="1:1" x14ac:dyDescent="0.2">
      <c r="A76" s="82" t="s">
        <v>487</v>
      </c>
    </row>
    <row r="77" spans="1:1" x14ac:dyDescent="0.2">
      <c r="A77" s="82" t="s">
        <v>488</v>
      </c>
    </row>
    <row r="78" spans="1:1" x14ac:dyDescent="0.2">
      <c r="A78" s="82" t="s">
        <v>489</v>
      </c>
    </row>
    <row r="79" spans="1:1" x14ac:dyDescent="0.2">
      <c r="A79" s="82" t="s">
        <v>490</v>
      </c>
    </row>
    <row r="80" spans="1:1" x14ac:dyDescent="0.2">
      <c r="A80" s="82" t="s">
        <v>491</v>
      </c>
    </row>
    <row r="81" spans="1:1" x14ac:dyDescent="0.2">
      <c r="A81" s="82" t="s">
        <v>492</v>
      </c>
    </row>
    <row r="82" spans="1:1" x14ac:dyDescent="0.2">
      <c r="A82" s="82" t="s">
        <v>493</v>
      </c>
    </row>
    <row r="83" spans="1:1" x14ac:dyDescent="0.2">
      <c r="A83" s="82" t="s">
        <v>494</v>
      </c>
    </row>
    <row r="84" spans="1:1" x14ac:dyDescent="0.2">
      <c r="A84" s="82" t="s">
        <v>495</v>
      </c>
    </row>
    <row r="85" spans="1:1" x14ac:dyDescent="0.2">
      <c r="A85" s="82" t="s">
        <v>496</v>
      </c>
    </row>
    <row r="86" spans="1:1" x14ac:dyDescent="0.2">
      <c r="A86" s="82" t="s">
        <v>497</v>
      </c>
    </row>
    <row r="87" spans="1:1" x14ac:dyDescent="0.2">
      <c r="A87" s="82" t="s">
        <v>498</v>
      </c>
    </row>
    <row r="88" spans="1:1" x14ac:dyDescent="0.2">
      <c r="A88" s="82" t="s">
        <v>499</v>
      </c>
    </row>
    <row r="89" spans="1:1" x14ac:dyDescent="0.2">
      <c r="A89" s="82" t="s">
        <v>500</v>
      </c>
    </row>
    <row r="90" spans="1:1" x14ac:dyDescent="0.2">
      <c r="A90" s="82" t="s">
        <v>501</v>
      </c>
    </row>
    <row r="91" spans="1:1" ht="13.5" thickBot="1" x14ac:dyDescent="0.25">
      <c r="A91" s="83" t="s">
        <v>502</v>
      </c>
    </row>
    <row r="92" spans="1:1" x14ac:dyDescent="0.2">
      <c r="A92" s="87" t="s">
        <v>414</v>
      </c>
    </row>
    <row r="93" spans="1:1" x14ac:dyDescent="0.2">
      <c r="A93" s="82" t="s">
        <v>415</v>
      </c>
    </row>
    <row r="94" spans="1:1" x14ac:dyDescent="0.2">
      <c r="A94" s="82" t="s">
        <v>416</v>
      </c>
    </row>
    <row r="95" spans="1:1" x14ac:dyDescent="0.2">
      <c r="A95" s="82" t="s">
        <v>417</v>
      </c>
    </row>
    <row r="96" spans="1:1" x14ac:dyDescent="0.2">
      <c r="A96" s="82" t="s">
        <v>418</v>
      </c>
    </row>
    <row r="97" spans="1:1" x14ac:dyDescent="0.2">
      <c r="A97" s="82" t="s">
        <v>419</v>
      </c>
    </row>
    <row r="98" spans="1:1" x14ac:dyDescent="0.2">
      <c r="A98" s="82" t="s">
        <v>420</v>
      </c>
    </row>
    <row r="99" spans="1:1" x14ac:dyDescent="0.2">
      <c r="A99" s="82" t="s">
        <v>421</v>
      </c>
    </row>
    <row r="100" spans="1:1" x14ac:dyDescent="0.2">
      <c r="A100" s="82" t="s">
        <v>422</v>
      </c>
    </row>
    <row r="101" spans="1:1" x14ac:dyDescent="0.2">
      <c r="A101" s="82" t="s">
        <v>423</v>
      </c>
    </row>
    <row r="102" spans="1:1" x14ac:dyDescent="0.2">
      <c r="A102" s="82" t="s">
        <v>424</v>
      </c>
    </row>
    <row r="103" spans="1:1" x14ac:dyDescent="0.2">
      <c r="A103" s="82" t="s">
        <v>425</v>
      </c>
    </row>
    <row r="104" spans="1:1" x14ac:dyDescent="0.2">
      <c r="A104" s="82" t="s">
        <v>426</v>
      </c>
    </row>
    <row r="105" spans="1:1" x14ac:dyDescent="0.2">
      <c r="A105" s="82" t="s">
        <v>427</v>
      </c>
    </row>
    <row r="106" spans="1:1" x14ac:dyDescent="0.2">
      <c r="A106" s="82" t="s">
        <v>428</v>
      </c>
    </row>
    <row r="107" spans="1:1" x14ac:dyDescent="0.2">
      <c r="A107" s="82" t="s">
        <v>429</v>
      </c>
    </row>
    <row r="108" spans="1:1" x14ac:dyDescent="0.2">
      <c r="A108" s="82" t="s">
        <v>430</v>
      </c>
    </row>
    <row r="109" spans="1:1" x14ac:dyDescent="0.2">
      <c r="A109" s="82" t="s">
        <v>431</v>
      </c>
    </row>
    <row r="110" spans="1:1" x14ac:dyDescent="0.2">
      <c r="A110" s="82" t="s">
        <v>432</v>
      </c>
    </row>
    <row r="111" spans="1:1" x14ac:dyDescent="0.2">
      <c r="A111" s="82" t="s">
        <v>433</v>
      </c>
    </row>
    <row r="112" spans="1:1" x14ac:dyDescent="0.2">
      <c r="A112" s="82" t="s">
        <v>434</v>
      </c>
    </row>
    <row r="113" spans="1:1" x14ac:dyDescent="0.2">
      <c r="A113" s="82" t="s">
        <v>435</v>
      </c>
    </row>
    <row r="114" spans="1:1" x14ac:dyDescent="0.2">
      <c r="A114" s="82" t="s">
        <v>436</v>
      </c>
    </row>
    <row r="115" spans="1:1" x14ac:dyDescent="0.2">
      <c r="A115" s="82" t="s">
        <v>437</v>
      </c>
    </row>
    <row r="116" spans="1:1" x14ac:dyDescent="0.2">
      <c r="A116" s="82" t="s">
        <v>438</v>
      </c>
    </row>
    <row r="117" spans="1:1" x14ac:dyDescent="0.2">
      <c r="A117" s="82" t="s">
        <v>439</v>
      </c>
    </row>
    <row r="118" spans="1:1" x14ac:dyDescent="0.2">
      <c r="A118" s="82" t="s">
        <v>440</v>
      </c>
    </row>
    <row r="119" spans="1:1" x14ac:dyDescent="0.2">
      <c r="A119" s="82" t="s">
        <v>441</v>
      </c>
    </row>
    <row r="120" spans="1:1" x14ac:dyDescent="0.2">
      <c r="A120" s="82" t="s">
        <v>442</v>
      </c>
    </row>
    <row r="121" spans="1:1" x14ac:dyDescent="0.2">
      <c r="A121" s="82" t="s">
        <v>443</v>
      </c>
    </row>
    <row r="122" spans="1:1" x14ac:dyDescent="0.2">
      <c r="A122" s="82" t="s">
        <v>445</v>
      </c>
    </row>
    <row r="123" spans="1:1" x14ac:dyDescent="0.2">
      <c r="A123" s="82" t="s">
        <v>446</v>
      </c>
    </row>
    <row r="124" spans="1:1" x14ac:dyDescent="0.2">
      <c r="A124" s="82" t="s">
        <v>447</v>
      </c>
    </row>
    <row r="125" spans="1:1" x14ac:dyDescent="0.2">
      <c r="A125" s="82" t="s">
        <v>448</v>
      </c>
    </row>
    <row r="126" spans="1:1" x14ac:dyDescent="0.2">
      <c r="A126" s="82" t="s">
        <v>449</v>
      </c>
    </row>
    <row r="127" spans="1:1" x14ac:dyDescent="0.2">
      <c r="A127" s="82" t="s">
        <v>450</v>
      </c>
    </row>
    <row r="128" spans="1:1" x14ac:dyDescent="0.2">
      <c r="A128" s="82" t="s">
        <v>451</v>
      </c>
    </row>
    <row r="129" spans="1:1" x14ac:dyDescent="0.2">
      <c r="A129" s="82" t="s">
        <v>452</v>
      </c>
    </row>
    <row r="130" spans="1:1" x14ac:dyDescent="0.2">
      <c r="A130" s="82" t="s">
        <v>453</v>
      </c>
    </row>
    <row r="131" spans="1:1" x14ac:dyDescent="0.2">
      <c r="A131" s="82" t="s">
        <v>454</v>
      </c>
    </row>
    <row r="132" spans="1:1" ht="13.5" thickBot="1" x14ac:dyDescent="0.25">
      <c r="A132" s="83" t="s">
        <v>455</v>
      </c>
    </row>
    <row r="133" spans="1:1" x14ac:dyDescent="0.2">
      <c r="A133" s="84" t="s">
        <v>369</v>
      </c>
    </row>
    <row r="134" spans="1:1" x14ac:dyDescent="0.2">
      <c r="A134" s="85" t="s">
        <v>370</v>
      </c>
    </row>
    <row r="135" spans="1:1" x14ac:dyDescent="0.2">
      <c r="A135" s="85" t="s">
        <v>371</v>
      </c>
    </row>
    <row r="136" spans="1:1" x14ac:dyDescent="0.2">
      <c r="A136" s="85" t="s">
        <v>372</v>
      </c>
    </row>
    <row r="137" spans="1:1" x14ac:dyDescent="0.2">
      <c r="A137" s="85" t="s">
        <v>373</v>
      </c>
    </row>
    <row r="138" spans="1:1" x14ac:dyDescent="0.2">
      <c r="A138" s="85" t="s">
        <v>374</v>
      </c>
    </row>
    <row r="139" spans="1:1" x14ac:dyDescent="0.2">
      <c r="A139" s="85" t="s">
        <v>376</v>
      </c>
    </row>
    <row r="140" spans="1:1" x14ac:dyDescent="0.2">
      <c r="A140" s="85" t="s">
        <v>375</v>
      </c>
    </row>
    <row r="141" spans="1:1" x14ac:dyDescent="0.2">
      <c r="A141" s="85" t="s">
        <v>377</v>
      </c>
    </row>
    <row r="142" spans="1:1" x14ac:dyDescent="0.2">
      <c r="A142" s="85" t="s">
        <v>378</v>
      </c>
    </row>
    <row r="143" spans="1:1" x14ac:dyDescent="0.2">
      <c r="A143" s="85" t="s">
        <v>379</v>
      </c>
    </row>
    <row r="144" spans="1:1" x14ac:dyDescent="0.2">
      <c r="A144" s="85" t="s">
        <v>380</v>
      </c>
    </row>
    <row r="145" spans="1:1" x14ac:dyDescent="0.2">
      <c r="A145" s="85" t="s">
        <v>381</v>
      </c>
    </row>
    <row r="146" spans="1:1" x14ac:dyDescent="0.2">
      <c r="A146" s="85" t="s">
        <v>382</v>
      </c>
    </row>
    <row r="147" spans="1:1" x14ac:dyDescent="0.2">
      <c r="A147" s="85" t="s">
        <v>383</v>
      </c>
    </row>
    <row r="148" spans="1:1" x14ac:dyDescent="0.2">
      <c r="A148" s="85" t="s">
        <v>329</v>
      </c>
    </row>
    <row r="149" spans="1:1" x14ac:dyDescent="0.2">
      <c r="A149" s="85" t="s">
        <v>384</v>
      </c>
    </row>
    <row r="150" spans="1:1" x14ac:dyDescent="0.2">
      <c r="A150" s="85" t="s">
        <v>385</v>
      </c>
    </row>
    <row r="151" spans="1:1" x14ac:dyDescent="0.2">
      <c r="A151" s="85" t="s">
        <v>386</v>
      </c>
    </row>
    <row r="152" spans="1:1" x14ac:dyDescent="0.2">
      <c r="A152" s="85" t="s">
        <v>387</v>
      </c>
    </row>
    <row r="153" spans="1:1" x14ac:dyDescent="0.2">
      <c r="A153" s="85" t="s">
        <v>388</v>
      </c>
    </row>
    <row r="154" spans="1:1" x14ac:dyDescent="0.2">
      <c r="A154" s="85" t="s">
        <v>389</v>
      </c>
    </row>
    <row r="155" spans="1:1" x14ac:dyDescent="0.2">
      <c r="A155" s="85" t="s">
        <v>390</v>
      </c>
    </row>
    <row r="156" spans="1:1" x14ac:dyDescent="0.2">
      <c r="A156" s="85" t="s">
        <v>391</v>
      </c>
    </row>
    <row r="157" spans="1:1" x14ac:dyDescent="0.2">
      <c r="A157" s="85" t="s">
        <v>392</v>
      </c>
    </row>
    <row r="158" spans="1:1" x14ac:dyDescent="0.2">
      <c r="A158" s="85" t="s">
        <v>393</v>
      </c>
    </row>
    <row r="159" spans="1:1" x14ac:dyDescent="0.2">
      <c r="A159" s="82" t="s">
        <v>394</v>
      </c>
    </row>
    <row r="160" spans="1:1" x14ac:dyDescent="0.2">
      <c r="A160" s="82" t="s">
        <v>395</v>
      </c>
    </row>
    <row r="161" spans="1:1" x14ac:dyDescent="0.2">
      <c r="A161" s="82" t="s">
        <v>396</v>
      </c>
    </row>
    <row r="162" spans="1:1" x14ac:dyDescent="0.2">
      <c r="A162" s="82" t="s">
        <v>397</v>
      </c>
    </row>
    <row r="163" spans="1:1" x14ac:dyDescent="0.2">
      <c r="A163" s="82" t="s">
        <v>398</v>
      </c>
    </row>
    <row r="164" spans="1:1" x14ac:dyDescent="0.2">
      <c r="A164" s="82" t="s">
        <v>399</v>
      </c>
    </row>
    <row r="165" spans="1:1" x14ac:dyDescent="0.2">
      <c r="A165" s="82" t="s">
        <v>400</v>
      </c>
    </row>
    <row r="166" spans="1:1" x14ac:dyDescent="0.2">
      <c r="A166" s="82" t="s">
        <v>401</v>
      </c>
    </row>
    <row r="167" spans="1:1" x14ac:dyDescent="0.2">
      <c r="A167" s="82" t="s">
        <v>402</v>
      </c>
    </row>
    <row r="168" spans="1:1" x14ac:dyDescent="0.2">
      <c r="A168" s="82" t="s">
        <v>403</v>
      </c>
    </row>
    <row r="169" spans="1:1" x14ac:dyDescent="0.2">
      <c r="A169" s="82" t="s">
        <v>404</v>
      </c>
    </row>
    <row r="170" spans="1:1" x14ac:dyDescent="0.2">
      <c r="A170" s="82" t="s">
        <v>405</v>
      </c>
    </row>
    <row r="171" spans="1:1" x14ac:dyDescent="0.2">
      <c r="A171" s="82" t="s">
        <v>406</v>
      </c>
    </row>
    <row r="172" spans="1:1" x14ac:dyDescent="0.2">
      <c r="A172" s="82" t="s">
        <v>407</v>
      </c>
    </row>
    <row r="173" spans="1:1" x14ac:dyDescent="0.2">
      <c r="A173" s="82" t="s">
        <v>408</v>
      </c>
    </row>
    <row r="174" spans="1:1" x14ac:dyDescent="0.2">
      <c r="A174" s="82" t="s">
        <v>409</v>
      </c>
    </row>
    <row r="175" spans="1:1" x14ac:dyDescent="0.2">
      <c r="A175" s="82" t="s">
        <v>410</v>
      </c>
    </row>
    <row r="176" spans="1:1" x14ac:dyDescent="0.2">
      <c r="A176" s="82" t="s">
        <v>411</v>
      </c>
    </row>
    <row r="177" spans="1:1" ht="13.5" thickBot="1" x14ac:dyDescent="0.25">
      <c r="A177" s="83" t="s">
        <v>412</v>
      </c>
    </row>
    <row r="178" spans="1:1" x14ac:dyDescent="0.2">
      <c r="A178" s="87" t="s">
        <v>327</v>
      </c>
    </row>
    <row r="179" spans="1:1" x14ac:dyDescent="0.2">
      <c r="A179" s="82" t="s">
        <v>328</v>
      </c>
    </row>
    <row r="180" spans="1:1" x14ac:dyDescent="0.2">
      <c r="A180" s="82" t="s">
        <v>337</v>
      </c>
    </row>
    <row r="181" spans="1:1" x14ac:dyDescent="0.2">
      <c r="A181" s="82" t="s">
        <v>338</v>
      </c>
    </row>
    <row r="182" spans="1:1" x14ac:dyDescent="0.2">
      <c r="A182" s="82" t="s">
        <v>329</v>
      </c>
    </row>
    <row r="183" spans="1:1" x14ac:dyDescent="0.2">
      <c r="A183" s="82" t="s">
        <v>330</v>
      </c>
    </row>
    <row r="184" spans="1:1" x14ac:dyDescent="0.2">
      <c r="A184" s="82" t="s">
        <v>339</v>
      </c>
    </row>
    <row r="185" spans="1:1" x14ac:dyDescent="0.2">
      <c r="A185" s="82" t="s">
        <v>330</v>
      </c>
    </row>
    <row r="186" spans="1:1" x14ac:dyDescent="0.2">
      <c r="A186" s="82" t="s">
        <v>331</v>
      </c>
    </row>
    <row r="187" spans="1:1" x14ac:dyDescent="0.2">
      <c r="A187" s="82" t="s">
        <v>332</v>
      </c>
    </row>
    <row r="188" spans="1:1" x14ac:dyDescent="0.2">
      <c r="A188" s="82" t="s">
        <v>333</v>
      </c>
    </row>
    <row r="189" spans="1:1" x14ac:dyDescent="0.2">
      <c r="A189" s="82" t="s">
        <v>285</v>
      </c>
    </row>
    <row r="190" spans="1:1" x14ac:dyDescent="0.2">
      <c r="A190" s="82" t="s">
        <v>334</v>
      </c>
    </row>
    <row r="191" spans="1:1" x14ac:dyDescent="0.2">
      <c r="A191" s="82" t="s">
        <v>335</v>
      </c>
    </row>
    <row r="192" spans="1:1" x14ac:dyDescent="0.2">
      <c r="A192" s="82" t="s">
        <v>336</v>
      </c>
    </row>
    <row r="193" spans="1:1" x14ac:dyDescent="0.2">
      <c r="A193" s="82" t="s">
        <v>340</v>
      </c>
    </row>
    <row r="194" spans="1:1" x14ac:dyDescent="0.2">
      <c r="A194" s="82" t="s">
        <v>341</v>
      </c>
    </row>
    <row r="195" spans="1:1" x14ac:dyDescent="0.2">
      <c r="A195" s="82" t="s">
        <v>342</v>
      </c>
    </row>
    <row r="196" spans="1:1" x14ac:dyDescent="0.2">
      <c r="A196" s="82" t="s">
        <v>343</v>
      </c>
    </row>
    <row r="197" spans="1:1" x14ac:dyDescent="0.2">
      <c r="A197" s="82" t="s">
        <v>344</v>
      </c>
    </row>
    <row r="198" spans="1:1" x14ac:dyDescent="0.2">
      <c r="A198" s="82" t="s">
        <v>345</v>
      </c>
    </row>
    <row r="199" spans="1:1" x14ac:dyDescent="0.2">
      <c r="A199" s="82" t="s">
        <v>346</v>
      </c>
    </row>
    <row r="200" spans="1:1" x14ac:dyDescent="0.2">
      <c r="A200" s="82" t="s">
        <v>347</v>
      </c>
    </row>
    <row r="201" spans="1:1" x14ac:dyDescent="0.2">
      <c r="A201" s="82" t="s">
        <v>348</v>
      </c>
    </row>
    <row r="202" spans="1:1" x14ac:dyDescent="0.2">
      <c r="A202" s="82" t="s">
        <v>349</v>
      </c>
    </row>
    <row r="203" spans="1:1" x14ac:dyDescent="0.2">
      <c r="A203" s="82" t="s">
        <v>350</v>
      </c>
    </row>
    <row r="204" spans="1:1" x14ac:dyDescent="0.2">
      <c r="A204" s="82" t="s">
        <v>351</v>
      </c>
    </row>
    <row r="205" spans="1:1" x14ac:dyDescent="0.2">
      <c r="A205" s="82" t="s">
        <v>352</v>
      </c>
    </row>
    <row r="206" spans="1:1" x14ac:dyDescent="0.2">
      <c r="A206" s="82" t="s">
        <v>353</v>
      </c>
    </row>
    <row r="207" spans="1:1" x14ac:dyDescent="0.2">
      <c r="A207" s="82" t="s">
        <v>354</v>
      </c>
    </row>
    <row r="208" spans="1:1" x14ac:dyDescent="0.2">
      <c r="A208" s="82" t="s">
        <v>355</v>
      </c>
    </row>
    <row r="209" spans="1:1" x14ac:dyDescent="0.2">
      <c r="A209" s="82" t="s">
        <v>356</v>
      </c>
    </row>
    <row r="210" spans="1:1" x14ac:dyDescent="0.2">
      <c r="A210" s="82" t="s">
        <v>357</v>
      </c>
    </row>
    <row r="211" spans="1:1" x14ac:dyDescent="0.2">
      <c r="A211" s="82" t="s">
        <v>358</v>
      </c>
    </row>
    <row r="212" spans="1:1" x14ac:dyDescent="0.2">
      <c r="A212" s="82" t="s">
        <v>359</v>
      </c>
    </row>
    <row r="213" spans="1:1" x14ac:dyDescent="0.2">
      <c r="A213" s="82" t="s">
        <v>360</v>
      </c>
    </row>
    <row r="214" spans="1:1" x14ac:dyDescent="0.2">
      <c r="A214" s="82" t="s">
        <v>361</v>
      </c>
    </row>
    <row r="215" spans="1:1" x14ac:dyDescent="0.2">
      <c r="A215" s="82" t="s">
        <v>362</v>
      </c>
    </row>
    <row r="216" spans="1:1" x14ac:dyDescent="0.2">
      <c r="A216" s="82" t="s">
        <v>363</v>
      </c>
    </row>
    <row r="217" spans="1:1" ht="13.5" thickBot="1" x14ac:dyDescent="0.25">
      <c r="A217" s="83" t="s">
        <v>364</v>
      </c>
    </row>
    <row r="218" spans="1:1" x14ac:dyDescent="0.2">
      <c r="A218" s="84" t="s">
        <v>287</v>
      </c>
    </row>
    <row r="219" spans="1:1" x14ac:dyDescent="0.2">
      <c r="A219" s="82" t="s">
        <v>274</v>
      </c>
    </row>
    <row r="220" spans="1:1" x14ac:dyDescent="0.2">
      <c r="A220" s="82" t="s">
        <v>275</v>
      </c>
    </row>
    <row r="221" spans="1:1" x14ac:dyDescent="0.2">
      <c r="A221" s="82" t="s">
        <v>276</v>
      </c>
    </row>
    <row r="222" spans="1:1" x14ac:dyDescent="0.2">
      <c r="A222" s="82" t="s">
        <v>277</v>
      </c>
    </row>
    <row r="223" spans="1:1" x14ac:dyDescent="0.2">
      <c r="A223" s="82" t="s">
        <v>278</v>
      </c>
    </row>
    <row r="224" spans="1:1" x14ac:dyDescent="0.2">
      <c r="A224" s="82" t="s">
        <v>279</v>
      </c>
    </row>
    <row r="225" spans="1:1" x14ac:dyDescent="0.2">
      <c r="A225" s="82" t="s">
        <v>280</v>
      </c>
    </row>
    <row r="226" spans="1:1" x14ac:dyDescent="0.2">
      <c r="A226" s="82" t="s">
        <v>281</v>
      </c>
    </row>
    <row r="227" spans="1:1" x14ac:dyDescent="0.2">
      <c r="A227" s="82" t="s">
        <v>282</v>
      </c>
    </row>
    <row r="228" spans="1:1" x14ac:dyDescent="0.2">
      <c r="A228" s="82" t="s">
        <v>283</v>
      </c>
    </row>
    <row r="229" spans="1:1" x14ac:dyDescent="0.2">
      <c r="A229" s="82" t="s">
        <v>284</v>
      </c>
    </row>
    <row r="230" spans="1:1" x14ac:dyDescent="0.2">
      <c r="A230" s="82" t="s">
        <v>285</v>
      </c>
    </row>
    <row r="231" spans="1:1" x14ac:dyDescent="0.2">
      <c r="A231" s="82" t="s">
        <v>286</v>
      </c>
    </row>
    <row r="232" spans="1:1" x14ac:dyDescent="0.2">
      <c r="A232" s="82" t="s">
        <v>289</v>
      </c>
    </row>
    <row r="233" spans="1:1" x14ac:dyDescent="0.2">
      <c r="A233" s="82" t="s">
        <v>290</v>
      </c>
    </row>
    <row r="234" spans="1:1" x14ac:dyDescent="0.2">
      <c r="A234" s="82" t="s">
        <v>291</v>
      </c>
    </row>
    <row r="235" spans="1:1" x14ac:dyDescent="0.2">
      <c r="A235" s="82" t="s">
        <v>292</v>
      </c>
    </row>
    <row r="236" spans="1:1" x14ac:dyDescent="0.2">
      <c r="A236" s="82" t="s">
        <v>293</v>
      </c>
    </row>
    <row r="237" spans="1:1" x14ac:dyDescent="0.2">
      <c r="A237" s="82" t="s">
        <v>294</v>
      </c>
    </row>
    <row r="238" spans="1:1" x14ac:dyDescent="0.2">
      <c r="A238" s="82" t="s">
        <v>295</v>
      </c>
    </row>
    <row r="239" spans="1:1" x14ac:dyDescent="0.2">
      <c r="A239" s="82" t="s">
        <v>296</v>
      </c>
    </row>
    <row r="240" spans="1:1" x14ac:dyDescent="0.2">
      <c r="A240" s="85" t="s">
        <v>297</v>
      </c>
    </row>
    <row r="241" spans="1:1" x14ac:dyDescent="0.2">
      <c r="A241" s="85" t="s">
        <v>299</v>
      </c>
    </row>
    <row r="242" spans="1:1" x14ac:dyDescent="0.2">
      <c r="A242" s="85" t="s">
        <v>300</v>
      </c>
    </row>
    <row r="243" spans="1:1" x14ac:dyDescent="0.2">
      <c r="A243" s="85" t="s">
        <v>301</v>
      </c>
    </row>
    <row r="244" spans="1:1" x14ac:dyDescent="0.2">
      <c r="A244" s="85" t="s">
        <v>302</v>
      </c>
    </row>
    <row r="245" spans="1:1" x14ac:dyDescent="0.2">
      <c r="A245" s="85" t="s">
        <v>303</v>
      </c>
    </row>
    <row r="246" spans="1:1" x14ac:dyDescent="0.2">
      <c r="A246" s="85" t="s">
        <v>304</v>
      </c>
    </row>
    <row r="247" spans="1:1" x14ac:dyDescent="0.2">
      <c r="A247" s="85" t="s">
        <v>305</v>
      </c>
    </row>
    <row r="248" spans="1:1" x14ac:dyDescent="0.2">
      <c r="A248" s="85" t="s">
        <v>306</v>
      </c>
    </row>
    <row r="249" spans="1:1" x14ac:dyDescent="0.2">
      <c r="A249" s="85" t="s">
        <v>307</v>
      </c>
    </row>
    <row r="250" spans="1:1" x14ac:dyDescent="0.2">
      <c r="A250" s="85" t="s">
        <v>308</v>
      </c>
    </row>
    <row r="251" spans="1:1" x14ac:dyDescent="0.2">
      <c r="A251" s="85" t="s">
        <v>309</v>
      </c>
    </row>
    <row r="252" spans="1:1" x14ac:dyDescent="0.2">
      <c r="A252" s="85" t="s">
        <v>310</v>
      </c>
    </row>
    <row r="253" spans="1:1" x14ac:dyDescent="0.2">
      <c r="A253" s="85" t="s">
        <v>311</v>
      </c>
    </row>
    <row r="254" spans="1:1" x14ac:dyDescent="0.2">
      <c r="A254" s="85" t="s">
        <v>312</v>
      </c>
    </row>
    <row r="255" spans="1:1" x14ac:dyDescent="0.2">
      <c r="A255" s="85" t="s">
        <v>313</v>
      </c>
    </row>
    <row r="256" spans="1:1" x14ac:dyDescent="0.2">
      <c r="A256" s="85" t="s">
        <v>314</v>
      </c>
    </row>
    <row r="257" spans="1:1" x14ac:dyDescent="0.2">
      <c r="A257" s="85" t="s">
        <v>315</v>
      </c>
    </row>
    <row r="258" spans="1:1" x14ac:dyDescent="0.2">
      <c r="A258" s="85" t="s">
        <v>316</v>
      </c>
    </row>
    <row r="259" spans="1:1" x14ac:dyDescent="0.2">
      <c r="A259" s="85" t="s">
        <v>317</v>
      </c>
    </row>
    <row r="260" spans="1:1" x14ac:dyDescent="0.2">
      <c r="A260" s="85" t="s">
        <v>318</v>
      </c>
    </row>
    <row r="261" spans="1:1" x14ac:dyDescent="0.2">
      <c r="A261" s="85" t="s">
        <v>319</v>
      </c>
    </row>
    <row r="262" spans="1:1" x14ac:dyDescent="0.2">
      <c r="A262" s="85" t="s">
        <v>320</v>
      </c>
    </row>
    <row r="263" spans="1:1" x14ac:dyDescent="0.2">
      <c r="A263" s="85" t="s">
        <v>321</v>
      </c>
    </row>
    <row r="264" spans="1:1" x14ac:dyDescent="0.2">
      <c r="A264" s="85" t="s">
        <v>322</v>
      </c>
    </row>
    <row r="265" spans="1:1" ht="13.5" thickBot="1" x14ac:dyDescent="0.25">
      <c r="A265" s="86" t="s">
        <v>323</v>
      </c>
    </row>
    <row r="266" spans="1:1" x14ac:dyDescent="0.2">
      <c r="A266" s="84" t="s">
        <v>260</v>
      </c>
    </row>
    <row r="267" spans="1:1" x14ac:dyDescent="0.2">
      <c r="A267" s="85" t="s">
        <v>261</v>
      </c>
    </row>
    <row r="268" spans="1:1" x14ac:dyDescent="0.2">
      <c r="A268" s="85" t="s">
        <v>288</v>
      </c>
    </row>
    <row r="269" spans="1:1" x14ac:dyDescent="0.2">
      <c r="A269" s="85" t="s">
        <v>265</v>
      </c>
    </row>
    <row r="270" spans="1:1" x14ac:dyDescent="0.2">
      <c r="A270" s="85" t="s">
        <v>267</v>
      </c>
    </row>
    <row r="271" spans="1:1" ht="13.5" thickBot="1" x14ac:dyDescent="0.25">
      <c r="A271" s="86" t="s">
        <v>270</v>
      </c>
    </row>
    <row r="272" spans="1:1" x14ac:dyDescent="0.2">
      <c r="A272" s="82" t="s">
        <v>225</v>
      </c>
    </row>
    <row r="273" spans="1:1" x14ac:dyDescent="0.2">
      <c r="A273" s="82" t="s">
        <v>226</v>
      </c>
    </row>
    <row r="274" spans="1:1" x14ac:dyDescent="0.2">
      <c r="A274" s="82" t="s">
        <v>227</v>
      </c>
    </row>
    <row r="275" spans="1:1" x14ac:dyDescent="0.2">
      <c r="A275" s="82" t="s">
        <v>228</v>
      </c>
    </row>
    <row r="276" spans="1:1" x14ac:dyDescent="0.2">
      <c r="A276" s="82" t="s">
        <v>229</v>
      </c>
    </row>
    <row r="277" spans="1:1" x14ac:dyDescent="0.2">
      <c r="A277" s="82" t="s">
        <v>233</v>
      </c>
    </row>
    <row r="278" spans="1:1" x14ac:dyDescent="0.2">
      <c r="A278" s="82" t="s">
        <v>234</v>
      </c>
    </row>
    <row r="279" spans="1:1" x14ac:dyDescent="0.2">
      <c r="A279" s="82" t="s">
        <v>235</v>
      </c>
    </row>
    <row r="280" spans="1:1" x14ac:dyDescent="0.2">
      <c r="A280" s="82" t="s">
        <v>236</v>
      </c>
    </row>
    <row r="281" spans="1:1" x14ac:dyDescent="0.2">
      <c r="A281" s="82" t="s">
        <v>237</v>
      </c>
    </row>
    <row r="282" spans="1:1" x14ac:dyDescent="0.2">
      <c r="A282" s="82" t="s">
        <v>238</v>
      </c>
    </row>
    <row r="283" spans="1:1" x14ac:dyDescent="0.2">
      <c r="A283" s="82" t="s">
        <v>239</v>
      </c>
    </row>
    <row r="284" spans="1:1" x14ac:dyDescent="0.2">
      <c r="A284" s="82" t="s">
        <v>240</v>
      </c>
    </row>
    <row r="285" spans="1:1" x14ac:dyDescent="0.2">
      <c r="A285" s="82" t="s">
        <v>241</v>
      </c>
    </row>
    <row r="286" spans="1:1" x14ac:dyDescent="0.2">
      <c r="A286" s="82" t="s">
        <v>242</v>
      </c>
    </row>
    <row r="287" spans="1:1" x14ac:dyDescent="0.2">
      <c r="A287" s="82" t="s">
        <v>243</v>
      </c>
    </row>
    <row r="288" spans="1:1" x14ac:dyDescent="0.2">
      <c r="A288" s="82" t="s">
        <v>244</v>
      </c>
    </row>
    <row r="289" spans="1:1" x14ac:dyDescent="0.2">
      <c r="A289" s="82" t="s">
        <v>245</v>
      </c>
    </row>
    <row r="290" spans="1:1" x14ac:dyDescent="0.2">
      <c r="A290" s="82" t="s">
        <v>246</v>
      </c>
    </row>
    <row r="291" spans="1:1" x14ac:dyDescent="0.2">
      <c r="A291" s="82" t="s">
        <v>247</v>
      </c>
    </row>
    <row r="292" spans="1:1" x14ac:dyDescent="0.2">
      <c r="A292" s="82" t="s">
        <v>248</v>
      </c>
    </row>
    <row r="293" spans="1:1" x14ac:dyDescent="0.2">
      <c r="A293" s="82" t="s">
        <v>249</v>
      </c>
    </row>
    <row r="294" spans="1:1" x14ac:dyDescent="0.2">
      <c r="A294" s="82" t="s">
        <v>250</v>
      </c>
    </row>
    <row r="295" spans="1:1" x14ac:dyDescent="0.2">
      <c r="A295" s="82" t="s">
        <v>251</v>
      </c>
    </row>
    <row r="296" spans="1:1" x14ac:dyDescent="0.2">
      <c r="A296" s="82" t="s">
        <v>252</v>
      </c>
    </row>
    <row r="297" spans="1:1" x14ac:dyDescent="0.2">
      <c r="A297" s="82" t="s">
        <v>253</v>
      </c>
    </row>
    <row r="298" spans="1:1" x14ac:dyDescent="0.2">
      <c r="A298" s="82" t="s">
        <v>254</v>
      </c>
    </row>
    <row r="299" spans="1:1" x14ac:dyDescent="0.2">
      <c r="A299" s="82" t="s">
        <v>255</v>
      </c>
    </row>
    <row r="300" spans="1:1" x14ac:dyDescent="0.2">
      <c r="A300" s="82" t="s">
        <v>256</v>
      </c>
    </row>
    <row r="301" spans="1:1" x14ac:dyDescent="0.2">
      <c r="A301" s="82" t="s">
        <v>257</v>
      </c>
    </row>
    <row r="302" spans="1:1" ht="13.5" thickBot="1" x14ac:dyDescent="0.25">
      <c r="A302" s="83" t="s">
        <v>258</v>
      </c>
    </row>
    <row r="303" spans="1:1" ht="13.5" thickBot="1" x14ac:dyDescent="0.25">
      <c r="A303" s="87" t="s">
        <v>874</v>
      </c>
    </row>
    <row r="304" spans="1:1" ht="13.5" thickBot="1" x14ac:dyDescent="0.25">
      <c r="A304" s="87" t="s">
        <v>875</v>
      </c>
    </row>
    <row r="305" spans="1:1" x14ac:dyDescent="0.2">
      <c r="A305" s="84" t="s">
        <v>876</v>
      </c>
    </row>
    <row r="306" spans="1:1" x14ac:dyDescent="0.2">
      <c r="A306" s="82" t="s">
        <v>895</v>
      </c>
    </row>
    <row r="307" spans="1:1" x14ac:dyDescent="0.2">
      <c r="A307" s="82" t="s">
        <v>896</v>
      </c>
    </row>
    <row r="308" spans="1:1" x14ac:dyDescent="0.2">
      <c r="A308" s="82" t="s">
        <v>897</v>
      </c>
    </row>
    <row r="309" spans="1:1" x14ac:dyDescent="0.2">
      <c r="A309" s="82" t="s">
        <v>898</v>
      </c>
    </row>
    <row r="310" spans="1:1" x14ac:dyDescent="0.2">
      <c r="A310" s="82" t="s">
        <v>1066</v>
      </c>
    </row>
    <row r="311" spans="1:1" x14ac:dyDescent="0.2">
      <c r="A311" s="82" t="s">
        <v>1067</v>
      </c>
    </row>
    <row r="312" spans="1:1" x14ac:dyDescent="0.2">
      <c r="A312" s="82" t="s">
        <v>1068</v>
      </c>
    </row>
    <row r="313" spans="1:1" x14ac:dyDescent="0.2">
      <c r="A313" s="82" t="s">
        <v>1069</v>
      </c>
    </row>
    <row r="314" spans="1:1" x14ac:dyDescent="0.2">
      <c r="A314" s="82" t="s">
        <v>1070</v>
      </c>
    </row>
    <row r="315" spans="1:1" x14ac:dyDescent="0.2">
      <c r="A315" s="82" t="s">
        <v>1071</v>
      </c>
    </row>
    <row r="316" spans="1:1" x14ac:dyDescent="0.2">
      <c r="A316" s="82" t="s">
        <v>1072</v>
      </c>
    </row>
    <row r="317" spans="1:1" x14ac:dyDescent="0.2">
      <c r="A317" s="82" t="s">
        <v>1073</v>
      </c>
    </row>
    <row r="318" spans="1:1" x14ac:dyDescent="0.2">
      <c r="A318" s="82" t="s">
        <v>1074</v>
      </c>
    </row>
    <row r="319" spans="1:1" ht="13.5" thickBot="1" x14ac:dyDescent="0.25">
      <c r="A319" s="83" t="s">
        <v>1075</v>
      </c>
    </row>
    <row r="320" spans="1:1" x14ac:dyDescent="0.2">
      <c r="A320" s="87" t="s">
        <v>1077</v>
      </c>
    </row>
    <row r="321" spans="1:1" x14ac:dyDescent="0.2">
      <c r="A321" s="82" t="s">
        <v>1078</v>
      </c>
    </row>
    <row r="322" spans="1:1" x14ac:dyDescent="0.2">
      <c r="A322" s="82" t="s">
        <v>1079</v>
      </c>
    </row>
    <row r="323" spans="1:1" x14ac:dyDescent="0.2">
      <c r="A323" s="82" t="s">
        <v>1080</v>
      </c>
    </row>
    <row r="324" spans="1:1" x14ac:dyDescent="0.2">
      <c r="A324" s="82" t="s">
        <v>1081</v>
      </c>
    </row>
    <row r="325" spans="1:1" x14ac:dyDescent="0.2">
      <c r="A325" s="82" t="s">
        <v>1082</v>
      </c>
    </row>
    <row r="326" spans="1:1" x14ac:dyDescent="0.2">
      <c r="A326" s="82" t="s">
        <v>1083</v>
      </c>
    </row>
    <row r="327" spans="1:1" x14ac:dyDescent="0.2">
      <c r="A327" s="82" t="s">
        <v>1084</v>
      </c>
    </row>
    <row r="328" spans="1:1" x14ac:dyDescent="0.2">
      <c r="A328" s="82" t="s">
        <v>1085</v>
      </c>
    </row>
    <row r="329" spans="1:1" x14ac:dyDescent="0.2">
      <c r="A329" s="82" t="s">
        <v>1086</v>
      </c>
    </row>
    <row r="330" spans="1:1" x14ac:dyDescent="0.2">
      <c r="A330" s="82" t="s">
        <v>1087</v>
      </c>
    </row>
    <row r="331" spans="1:1" x14ac:dyDescent="0.2">
      <c r="A331" s="82" t="s">
        <v>1088</v>
      </c>
    </row>
    <row r="332" spans="1:1" x14ac:dyDescent="0.2">
      <c r="A332" s="82" t="s">
        <v>1089</v>
      </c>
    </row>
    <row r="333" spans="1:1" ht="13.5" thickBot="1" x14ac:dyDescent="0.25">
      <c r="A333" s="83" t="s">
        <v>1091</v>
      </c>
    </row>
    <row r="334" spans="1:1" x14ac:dyDescent="0.2">
      <c r="A334" s="82"/>
    </row>
    <row r="335" spans="1:1" x14ac:dyDescent="0.2">
      <c r="A335" s="82"/>
    </row>
  </sheetData>
  <sheetProtection password="DA0F"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N49"/>
  <sheetViews>
    <sheetView tabSelected="1" topLeftCell="A10" zoomScale="70" zoomScaleNormal="70" workbookViewId="0">
      <selection activeCell="I30" sqref="I30:J33"/>
    </sheetView>
  </sheetViews>
  <sheetFormatPr baseColWidth="10" defaultRowHeight="12.75" outlineLevelRow="2" x14ac:dyDescent="0.2"/>
  <cols>
    <col min="3" max="3" width="52.140625" customWidth="1"/>
    <col min="9" max="9" width="15.28515625" customWidth="1"/>
    <col min="12" max="12" width="47.5703125" customWidth="1"/>
  </cols>
  <sheetData>
    <row r="1" spans="1:12" x14ac:dyDescent="0.2">
      <c r="A1" s="2"/>
      <c r="B1" s="2"/>
      <c r="C1" s="126" t="s">
        <v>1</v>
      </c>
      <c r="D1" s="126" t="s">
        <v>0</v>
      </c>
      <c r="E1" s="125" t="s">
        <v>2</v>
      </c>
      <c r="F1" s="125" t="s">
        <v>3</v>
      </c>
      <c r="G1" s="125" t="s">
        <v>4</v>
      </c>
      <c r="H1" s="125" t="s">
        <v>5</v>
      </c>
      <c r="I1" s="127" t="s">
        <v>6</v>
      </c>
      <c r="J1" s="127" t="s">
        <v>7</v>
      </c>
      <c r="K1" s="127" t="s">
        <v>8</v>
      </c>
      <c r="L1" s="125" t="s">
        <v>9</v>
      </c>
    </row>
    <row r="2" spans="1:12" x14ac:dyDescent="0.2">
      <c r="A2" s="6" t="s">
        <v>1013</v>
      </c>
      <c r="B2" s="7"/>
      <c r="C2" s="8"/>
      <c r="D2" s="9"/>
      <c r="E2" s="9"/>
      <c r="F2" s="9"/>
      <c r="G2" s="9"/>
      <c r="H2" s="9"/>
      <c r="I2" s="10"/>
      <c r="J2" s="10"/>
      <c r="K2" s="10"/>
      <c r="L2" s="8"/>
    </row>
    <row r="3" spans="1:12" x14ac:dyDescent="0.2">
      <c r="A3" s="12"/>
      <c r="B3" s="13" t="s">
        <v>1014</v>
      </c>
      <c r="C3" s="179"/>
      <c r="D3" s="178"/>
      <c r="E3" s="178"/>
      <c r="F3" s="178"/>
      <c r="G3" s="178"/>
      <c r="H3" s="178"/>
      <c r="I3" s="180"/>
      <c r="J3" s="180"/>
      <c r="K3" s="180"/>
      <c r="L3" s="179"/>
    </row>
    <row r="4" spans="1:12" ht="25.5" x14ac:dyDescent="0.2">
      <c r="A4" s="12"/>
      <c r="B4" s="172"/>
      <c r="C4" s="184" t="s">
        <v>1015</v>
      </c>
      <c r="D4" s="182"/>
      <c r="E4" s="193" t="s">
        <v>1016</v>
      </c>
      <c r="F4" s="193" t="s">
        <v>1017</v>
      </c>
      <c r="G4" s="197"/>
      <c r="H4" s="176">
        <v>0.25</v>
      </c>
      <c r="I4" s="177"/>
      <c r="J4" s="177"/>
      <c r="K4" s="177"/>
      <c r="L4" s="177"/>
    </row>
    <row r="5" spans="1:12" x14ac:dyDescent="0.2">
      <c r="A5" s="12"/>
      <c r="B5" s="172"/>
      <c r="C5" s="197"/>
      <c r="D5" s="182"/>
      <c r="E5" s="193"/>
      <c r="F5" s="193"/>
      <c r="G5" s="197"/>
      <c r="H5" s="176"/>
      <c r="I5" s="177"/>
      <c r="J5" s="177"/>
      <c r="K5" s="177"/>
      <c r="L5" s="177"/>
    </row>
    <row r="6" spans="1:12" x14ac:dyDescent="0.2">
      <c r="A6" s="12"/>
      <c r="B6" s="172"/>
      <c r="C6" s="197"/>
      <c r="D6" s="182"/>
      <c r="E6" s="193"/>
      <c r="F6" s="193"/>
      <c r="G6" s="197"/>
      <c r="H6" s="176"/>
      <c r="I6" s="177"/>
      <c r="J6" s="177"/>
      <c r="K6" s="177"/>
      <c r="L6" s="177"/>
    </row>
    <row r="7" spans="1:12" x14ac:dyDescent="0.2">
      <c r="A7" s="12"/>
      <c r="B7" s="172"/>
      <c r="C7" s="197"/>
      <c r="D7" s="182"/>
      <c r="E7" s="193"/>
      <c r="F7" s="193"/>
      <c r="G7" s="197"/>
      <c r="H7" s="176"/>
      <c r="I7" s="177"/>
      <c r="J7" s="177"/>
      <c r="K7" s="177"/>
      <c r="L7" s="91"/>
    </row>
    <row r="8" spans="1:12" x14ac:dyDescent="0.2">
      <c r="A8" s="12"/>
      <c r="B8" s="172"/>
      <c r="C8" s="80"/>
      <c r="D8" s="204"/>
      <c r="E8" s="205"/>
      <c r="F8" s="205"/>
      <c r="G8" s="197"/>
      <c r="H8" s="59"/>
      <c r="I8" s="183"/>
      <c r="J8" s="183"/>
      <c r="K8" s="183"/>
      <c r="L8" s="206"/>
    </row>
    <row r="9" spans="1:12" x14ac:dyDescent="0.2">
      <c r="A9" s="12"/>
      <c r="B9" s="13" t="s">
        <v>1018</v>
      </c>
      <c r="C9" s="179"/>
      <c r="D9" s="179"/>
      <c r="E9" s="62" t="s">
        <v>175</v>
      </c>
      <c r="F9" s="53"/>
      <c r="G9" s="178"/>
      <c r="H9" s="255">
        <f>SUM(H10:H20)</f>
        <v>0.20138888888888867</v>
      </c>
      <c r="I9" s="180"/>
      <c r="J9" s="180"/>
      <c r="K9" s="180"/>
      <c r="L9" s="179"/>
    </row>
    <row r="10" spans="1:12" ht="63.75" x14ac:dyDescent="0.2">
      <c r="A10" s="12"/>
      <c r="B10" s="172"/>
      <c r="C10" s="184" t="s">
        <v>1019</v>
      </c>
      <c r="D10" s="56"/>
      <c r="E10" s="63" t="s">
        <v>28</v>
      </c>
      <c r="F10" s="145" t="s">
        <v>29</v>
      </c>
      <c r="G10" s="197"/>
      <c r="H10" s="176">
        <v>2.0833333333333332E-2</v>
      </c>
      <c r="I10" s="177"/>
      <c r="J10" s="177"/>
      <c r="K10" s="177"/>
      <c r="L10" s="197" t="s">
        <v>1020</v>
      </c>
    </row>
    <row r="11" spans="1:12" ht="38.25" x14ac:dyDescent="0.2">
      <c r="A11" s="12"/>
      <c r="B11" s="172"/>
      <c r="C11" s="184" t="s">
        <v>1021</v>
      </c>
      <c r="D11" s="56"/>
      <c r="E11" s="63" t="s">
        <v>28</v>
      </c>
      <c r="F11" s="145" t="s">
        <v>29</v>
      </c>
      <c r="G11" s="197"/>
      <c r="H11" s="176">
        <v>2.0833333333333332E-2</v>
      </c>
      <c r="I11" s="177"/>
      <c r="J11" s="177"/>
      <c r="K11" s="177"/>
      <c r="L11" s="197" t="s">
        <v>1022</v>
      </c>
    </row>
    <row r="12" spans="1:12" ht="38.25" x14ac:dyDescent="0.2">
      <c r="A12" s="12"/>
      <c r="B12" s="172"/>
      <c r="C12" s="184" t="s">
        <v>1023</v>
      </c>
      <c r="D12" s="56"/>
      <c r="E12" s="63" t="s">
        <v>28</v>
      </c>
      <c r="F12" s="145" t="s">
        <v>29</v>
      </c>
      <c r="G12" s="197"/>
      <c r="H12" s="176">
        <v>2.0833333333333301E-2</v>
      </c>
      <c r="I12" s="177"/>
      <c r="J12" s="177"/>
      <c r="K12" s="177"/>
      <c r="L12" s="197" t="s">
        <v>1022</v>
      </c>
    </row>
    <row r="13" spans="1:12" ht="38.25" x14ac:dyDescent="0.2">
      <c r="A13" s="12"/>
      <c r="B13" s="172"/>
      <c r="C13" s="184" t="s">
        <v>1024</v>
      </c>
      <c r="D13" s="56"/>
      <c r="E13" s="63" t="s">
        <v>28</v>
      </c>
      <c r="F13" s="145" t="s">
        <v>29</v>
      </c>
      <c r="G13" s="197"/>
      <c r="H13" s="176">
        <v>2.0833333333333301E-2</v>
      </c>
      <c r="I13" s="177"/>
      <c r="J13" s="177"/>
      <c r="K13" s="177"/>
      <c r="L13" s="197" t="s">
        <v>1022</v>
      </c>
    </row>
    <row r="14" spans="1:12" ht="38.25" x14ac:dyDescent="0.2">
      <c r="A14" s="12"/>
      <c r="B14" s="172"/>
      <c r="C14" s="184" t="s">
        <v>1025</v>
      </c>
      <c r="D14" s="56"/>
      <c r="E14" s="63" t="s">
        <v>28</v>
      </c>
      <c r="F14" s="145" t="s">
        <v>29</v>
      </c>
      <c r="G14" s="197"/>
      <c r="H14" s="176">
        <v>2.0833333333333301E-2</v>
      </c>
      <c r="I14" s="177"/>
      <c r="J14" s="177"/>
      <c r="K14" s="177"/>
      <c r="L14" s="197" t="s">
        <v>1022</v>
      </c>
    </row>
    <row r="15" spans="1:12" ht="38.25" x14ac:dyDescent="0.2">
      <c r="A15" s="12"/>
      <c r="B15" s="172"/>
      <c r="C15" s="184" t="s">
        <v>1026</v>
      </c>
      <c r="D15" s="56"/>
      <c r="E15" s="63" t="s">
        <v>28</v>
      </c>
      <c r="F15" s="145" t="s">
        <v>29</v>
      </c>
      <c r="G15" s="197"/>
      <c r="H15" s="176">
        <v>2.0833333333333301E-2</v>
      </c>
      <c r="I15" s="177"/>
      <c r="J15" s="177"/>
      <c r="K15" s="177"/>
      <c r="L15" s="197" t="s">
        <v>1022</v>
      </c>
    </row>
    <row r="16" spans="1:12" ht="38.25" x14ac:dyDescent="0.2">
      <c r="A16" s="12"/>
      <c r="B16" s="172"/>
      <c r="C16" s="184" t="s">
        <v>1027</v>
      </c>
      <c r="D16" s="56"/>
      <c r="E16" s="63" t="s">
        <v>28</v>
      </c>
      <c r="F16" s="145" t="s">
        <v>29</v>
      </c>
      <c r="G16" s="197"/>
      <c r="H16" s="176">
        <v>2.0833333333333301E-2</v>
      </c>
      <c r="I16" s="177"/>
      <c r="J16" s="177"/>
      <c r="K16" s="177"/>
      <c r="L16" s="197" t="s">
        <v>1022</v>
      </c>
    </row>
    <row r="17" spans="1:14" ht="38.25" x14ac:dyDescent="0.2">
      <c r="A17" s="12"/>
      <c r="B17" s="172"/>
      <c r="C17" s="184" t="s">
        <v>1028</v>
      </c>
      <c r="D17" s="56"/>
      <c r="E17" s="63" t="s">
        <v>28</v>
      </c>
      <c r="F17" s="145" t="s">
        <v>29</v>
      </c>
      <c r="G17" s="197"/>
      <c r="H17" s="176">
        <v>2.0833333333333301E-2</v>
      </c>
      <c r="I17" s="177"/>
      <c r="J17" s="177"/>
      <c r="K17" s="177"/>
      <c r="L17" s="197" t="s">
        <v>1022</v>
      </c>
    </row>
    <row r="18" spans="1:14" ht="38.25" x14ac:dyDescent="0.2">
      <c r="A18" s="12"/>
      <c r="B18" s="172"/>
      <c r="C18" s="184" t="s">
        <v>1029</v>
      </c>
      <c r="D18" s="56"/>
      <c r="E18" s="63" t="s">
        <v>28</v>
      </c>
      <c r="F18" s="145" t="s">
        <v>29</v>
      </c>
      <c r="G18" s="197"/>
      <c r="H18" s="176">
        <v>2.0833333333333301E-2</v>
      </c>
      <c r="I18" s="177"/>
      <c r="J18" s="177"/>
      <c r="K18" s="177"/>
      <c r="L18" s="197" t="s">
        <v>1022</v>
      </c>
    </row>
    <row r="19" spans="1:14" x14ac:dyDescent="0.2">
      <c r="A19" s="12"/>
      <c r="B19" s="172"/>
      <c r="C19" s="184" t="s">
        <v>1030</v>
      </c>
      <c r="D19" s="56"/>
      <c r="E19" s="63" t="s">
        <v>28</v>
      </c>
      <c r="F19" s="145" t="s">
        <v>29</v>
      </c>
      <c r="G19" s="197"/>
      <c r="H19" s="176">
        <v>6.9444444444444441E-3</v>
      </c>
      <c r="I19" s="177"/>
      <c r="J19" s="177"/>
      <c r="K19" s="177"/>
      <c r="L19" s="197"/>
    </row>
    <row r="20" spans="1:14" x14ac:dyDescent="0.2">
      <c r="A20" s="12"/>
      <c r="B20" s="172"/>
      <c r="C20" s="184" t="s">
        <v>1031</v>
      </c>
      <c r="D20" s="56"/>
      <c r="E20" s="63" t="s">
        <v>1016</v>
      </c>
      <c r="F20" s="145"/>
      <c r="G20" s="197"/>
      <c r="H20" s="176">
        <v>6.9444444444444441E-3</v>
      </c>
      <c r="I20" s="177"/>
      <c r="J20" s="177"/>
      <c r="K20" s="177"/>
      <c r="L20" s="197" t="s">
        <v>1032</v>
      </c>
    </row>
    <row r="21" spans="1:14" x14ac:dyDescent="0.2">
      <c r="A21" s="12"/>
      <c r="B21" s="172"/>
      <c r="C21" s="184"/>
      <c r="D21" s="56"/>
      <c r="E21" s="63"/>
      <c r="F21" s="145"/>
      <c r="G21" s="197"/>
      <c r="H21" s="176"/>
      <c r="I21" s="177"/>
      <c r="J21" s="177"/>
      <c r="K21" s="177"/>
      <c r="L21" s="197"/>
    </row>
    <row r="22" spans="1:14" x14ac:dyDescent="0.2">
      <c r="A22" s="173"/>
      <c r="B22" s="174" t="s">
        <v>153</v>
      </c>
      <c r="C22" s="179"/>
      <c r="D22" s="179"/>
      <c r="E22" s="256"/>
      <c r="F22" s="53"/>
      <c r="G22" s="53"/>
      <c r="H22" s="178"/>
      <c r="I22" s="178"/>
      <c r="J22" s="178"/>
      <c r="K22" s="180"/>
      <c r="L22" s="179"/>
    </row>
    <row r="23" spans="1:14" x14ac:dyDescent="0.2">
      <c r="A23" s="12"/>
      <c r="B23" s="13"/>
      <c r="C23" s="59"/>
      <c r="D23" s="183"/>
      <c r="E23" s="79"/>
      <c r="F23" s="79"/>
      <c r="G23" s="196"/>
      <c r="H23" s="176"/>
      <c r="I23" s="177"/>
      <c r="J23" s="177"/>
      <c r="K23" s="176"/>
      <c r="L23" s="176"/>
    </row>
    <row r="24" spans="1:14" x14ac:dyDescent="0.2">
      <c r="A24" s="12"/>
      <c r="B24" s="13"/>
      <c r="C24" s="59"/>
      <c r="D24" s="183"/>
      <c r="E24" s="79"/>
      <c r="F24" s="79"/>
      <c r="G24" s="196"/>
      <c r="H24" s="176"/>
      <c r="I24" s="177"/>
      <c r="J24" s="177"/>
      <c r="K24" s="176"/>
      <c r="L24" s="176"/>
    </row>
    <row r="25" spans="1:14" x14ac:dyDescent="0.2">
      <c r="A25" s="12"/>
      <c r="B25" s="13"/>
      <c r="C25" s="59"/>
      <c r="D25" s="183"/>
      <c r="E25" s="79"/>
      <c r="F25" s="79"/>
      <c r="G25" s="196"/>
      <c r="H25" s="176"/>
      <c r="I25" s="177"/>
      <c r="J25" s="177"/>
      <c r="K25" s="176"/>
      <c r="L25" s="176"/>
    </row>
    <row r="26" spans="1:14" x14ac:dyDescent="0.2">
      <c r="A26" s="12"/>
      <c r="B26" s="13"/>
      <c r="C26" s="59"/>
      <c r="D26" s="183"/>
      <c r="E26" s="79"/>
      <c r="F26" s="79"/>
      <c r="G26" s="196"/>
      <c r="H26" s="176"/>
      <c r="I26" s="177"/>
      <c r="J26" s="177"/>
      <c r="K26" s="176"/>
      <c r="L26" s="176"/>
    </row>
    <row r="27" spans="1:14" x14ac:dyDescent="0.2">
      <c r="A27" s="12"/>
      <c r="B27" s="13" t="s">
        <v>1033</v>
      </c>
      <c r="C27" s="179"/>
      <c r="D27" s="178"/>
      <c r="E27" s="178"/>
      <c r="F27" s="178"/>
      <c r="G27" s="178"/>
      <c r="H27" s="255">
        <f>SUM(H28:H43)</f>
        <v>0.10833333333333335</v>
      </c>
      <c r="I27" s="180"/>
      <c r="J27" s="180"/>
      <c r="K27" s="180"/>
      <c r="L27" s="179"/>
    </row>
    <row r="28" spans="1:14" ht="25.5" x14ac:dyDescent="0.2">
      <c r="A28" s="12"/>
      <c r="B28" s="13"/>
      <c r="C28" s="59" t="s">
        <v>1034</v>
      </c>
      <c r="D28" s="183"/>
      <c r="E28" s="79" t="s">
        <v>203</v>
      </c>
      <c r="F28" s="79" t="s">
        <v>171</v>
      </c>
      <c r="G28" s="196" t="s">
        <v>713</v>
      </c>
      <c r="H28" s="176">
        <v>2.0833333333333333E-3</v>
      </c>
      <c r="I28" s="177"/>
      <c r="J28" s="177"/>
      <c r="K28" s="176"/>
      <c r="L28" s="176"/>
    </row>
    <row r="29" spans="1:14" ht="25.5" x14ac:dyDescent="0.2">
      <c r="A29" s="12"/>
      <c r="B29" s="13"/>
      <c r="C29" s="59" t="s">
        <v>818</v>
      </c>
      <c r="D29" s="183"/>
      <c r="E29" s="79" t="s">
        <v>203</v>
      </c>
      <c r="F29" s="79" t="s">
        <v>171</v>
      </c>
      <c r="G29" s="196" t="s">
        <v>713</v>
      </c>
      <c r="H29" s="176">
        <v>2.0833333333333333E-3</v>
      </c>
      <c r="I29" s="177"/>
      <c r="J29" s="177"/>
      <c r="K29" s="176"/>
      <c r="L29" s="176"/>
    </row>
    <row r="30" spans="1:14" ht="25.5" x14ac:dyDescent="0.2">
      <c r="A30" s="12"/>
      <c r="B30" s="13"/>
      <c r="C30" s="59" t="s">
        <v>892</v>
      </c>
      <c r="D30" s="183"/>
      <c r="E30" s="79" t="s">
        <v>203</v>
      </c>
      <c r="F30" s="79" t="s">
        <v>171</v>
      </c>
      <c r="G30" s="196" t="s">
        <v>713</v>
      </c>
      <c r="H30" s="176">
        <v>3.472222222222222E-3</v>
      </c>
      <c r="I30" s="177"/>
      <c r="J30" s="177"/>
      <c r="K30" s="176"/>
      <c r="L30" s="176"/>
    </row>
    <row r="31" spans="1:14" ht="38.25" x14ac:dyDescent="0.2">
      <c r="A31" s="12"/>
      <c r="B31" s="13"/>
      <c r="C31" s="176" t="s">
        <v>149</v>
      </c>
      <c r="D31" s="177"/>
      <c r="E31" t="s">
        <v>201</v>
      </c>
      <c r="F31" s="176" t="s">
        <v>150</v>
      </c>
      <c r="G31" s="196" t="s">
        <v>713</v>
      </c>
      <c r="H31" s="176">
        <v>6.9444444444444441E-3</v>
      </c>
      <c r="I31" s="177"/>
      <c r="J31" s="177"/>
      <c r="K31" s="176"/>
      <c r="L31" s="176"/>
    </row>
    <row r="32" spans="1:14" s="11" customFormat="1" ht="25.5" outlineLevel="2" x14ac:dyDescent="0.2">
      <c r="A32" s="12"/>
      <c r="B32" s="172"/>
      <c r="C32" s="197" t="s">
        <v>183</v>
      </c>
      <c r="D32" s="182">
        <v>70</v>
      </c>
      <c r="E32" s="185" t="s">
        <v>169</v>
      </c>
      <c r="F32" s="185" t="s">
        <v>171</v>
      </c>
      <c r="G32" s="196" t="s">
        <v>713</v>
      </c>
      <c r="H32" s="186">
        <v>3.472222222222222E-3</v>
      </c>
      <c r="I32" s="68"/>
      <c r="J32" s="68"/>
      <c r="K32" s="68"/>
      <c r="L32" s="66"/>
      <c r="M32" s="172"/>
      <c r="N32" s="173"/>
    </row>
    <row r="33" spans="1:12" ht="38.25" x14ac:dyDescent="0.2">
      <c r="A33" s="12"/>
      <c r="B33" s="13"/>
      <c r="C33" s="257" t="s">
        <v>914</v>
      </c>
      <c r="D33" s="177"/>
      <c r="E33" t="s">
        <v>201</v>
      </c>
      <c r="F33" s="176" t="s">
        <v>150</v>
      </c>
      <c r="G33" s="196" t="s">
        <v>713</v>
      </c>
      <c r="H33" s="176">
        <v>6.9444444444444441E-3</v>
      </c>
      <c r="I33" s="177"/>
      <c r="J33" s="177"/>
      <c r="K33" s="176"/>
      <c r="L33" s="176"/>
    </row>
    <row r="34" spans="1:12" ht="25.5" x14ac:dyDescent="0.2">
      <c r="A34" s="12"/>
      <c r="B34" s="13"/>
      <c r="C34" s="176" t="s">
        <v>915</v>
      </c>
      <c r="D34" s="177"/>
      <c r="E34" t="s">
        <v>916</v>
      </c>
      <c r="F34" s="176"/>
      <c r="G34" s="196" t="s">
        <v>713</v>
      </c>
      <c r="H34" s="176">
        <v>6.9444444444444441E-3</v>
      </c>
      <c r="I34" s="177"/>
      <c r="J34" s="177"/>
      <c r="K34" s="176"/>
      <c r="L34" s="176"/>
    </row>
    <row r="35" spans="1:12" ht="25.5" x14ac:dyDescent="0.2">
      <c r="A35" s="12"/>
      <c r="B35" s="13"/>
      <c r="C35" s="59" t="s">
        <v>931</v>
      </c>
      <c r="D35" s="183"/>
      <c r="E35" s="18" t="s">
        <v>178</v>
      </c>
      <c r="F35" s="18" t="s">
        <v>923</v>
      </c>
      <c r="G35" s="196" t="s">
        <v>713</v>
      </c>
      <c r="H35" s="176">
        <v>6.9444444444444441E-3</v>
      </c>
      <c r="I35" s="177"/>
      <c r="J35" s="177"/>
      <c r="K35" s="59"/>
      <c r="L35" s="59"/>
    </row>
    <row r="36" spans="1:12" ht="38.25" x14ac:dyDescent="0.2">
      <c r="A36" s="12"/>
      <c r="B36" s="13"/>
      <c r="C36" s="159" t="s">
        <v>815</v>
      </c>
      <c r="D36" s="183"/>
      <c r="F36" s="59"/>
      <c r="G36" s="196" t="s">
        <v>713</v>
      </c>
      <c r="H36" s="59"/>
      <c r="I36" s="177"/>
      <c r="J36" s="177"/>
      <c r="K36" s="59"/>
      <c r="L36" s="59"/>
    </row>
    <row r="37" spans="1:12" ht="25.5" x14ac:dyDescent="0.2">
      <c r="A37" s="12"/>
      <c r="B37" s="13"/>
      <c r="C37" s="156" t="s">
        <v>853</v>
      </c>
      <c r="D37" s="157"/>
      <c r="E37" s="158" t="s">
        <v>856</v>
      </c>
      <c r="F37" s="197" t="s">
        <v>837</v>
      </c>
      <c r="G37" s="196" t="s">
        <v>713</v>
      </c>
      <c r="H37" s="176">
        <v>1.0416666666666666E-2</v>
      </c>
      <c r="I37" s="177"/>
      <c r="J37" s="177"/>
      <c r="K37" s="156"/>
      <c r="L37" s="156"/>
    </row>
    <row r="38" spans="1:12" ht="25.5" x14ac:dyDescent="0.2">
      <c r="A38" s="12"/>
      <c r="B38" s="13"/>
      <c r="C38" s="156" t="s">
        <v>854</v>
      </c>
      <c r="D38" s="157"/>
      <c r="E38" s="158" t="s">
        <v>857</v>
      </c>
      <c r="F38" s="197" t="s">
        <v>859</v>
      </c>
      <c r="G38" s="196" t="s">
        <v>713</v>
      </c>
      <c r="H38" s="176">
        <v>2.0833333333333332E-2</v>
      </c>
      <c r="I38" s="177"/>
      <c r="J38" s="177"/>
      <c r="K38" s="156"/>
      <c r="L38" s="156"/>
    </row>
    <row r="39" spans="1:12" ht="51" x14ac:dyDescent="0.2">
      <c r="A39" s="12"/>
      <c r="B39" s="13"/>
      <c r="C39" s="156" t="s">
        <v>855</v>
      </c>
      <c r="D39" s="157"/>
      <c r="E39" s="158" t="s">
        <v>858</v>
      </c>
      <c r="F39" s="197" t="s">
        <v>860</v>
      </c>
      <c r="G39" s="196" t="s">
        <v>713</v>
      </c>
      <c r="H39" s="176">
        <v>1.0416666666666666E-2</v>
      </c>
      <c r="I39" s="177"/>
      <c r="J39" s="177"/>
      <c r="K39" s="156"/>
      <c r="L39" s="156"/>
    </row>
    <row r="40" spans="1:12" ht="25.5" x14ac:dyDescent="0.2">
      <c r="A40" s="12"/>
      <c r="B40" s="13"/>
      <c r="C40" s="59" t="s">
        <v>819</v>
      </c>
      <c r="D40" s="183"/>
      <c r="F40" s="59" t="s">
        <v>167</v>
      </c>
      <c r="G40" s="196" t="s">
        <v>713</v>
      </c>
      <c r="H40" s="176">
        <v>6.9444444444444441E-3</v>
      </c>
      <c r="I40" s="177"/>
      <c r="J40" s="177"/>
      <c r="K40" s="59"/>
      <c r="L40" s="59"/>
    </row>
    <row r="41" spans="1:12" ht="25.5" x14ac:dyDescent="0.2">
      <c r="A41" s="12"/>
      <c r="B41" s="13"/>
      <c r="C41" s="66" t="s">
        <v>812</v>
      </c>
      <c r="D41" s="183"/>
      <c r="F41" s="59" t="s">
        <v>918</v>
      </c>
      <c r="G41" s="196" t="s">
        <v>713</v>
      </c>
      <c r="H41" s="176">
        <v>6.9444444444444441E-3</v>
      </c>
      <c r="I41" s="177"/>
      <c r="J41" s="177"/>
      <c r="K41" s="59"/>
      <c r="L41" s="59"/>
    </row>
    <row r="42" spans="1:12" ht="38.25" x14ac:dyDescent="0.2">
      <c r="A42" s="12"/>
      <c r="B42" s="13"/>
      <c r="C42" s="66" t="s">
        <v>1035</v>
      </c>
      <c r="D42" s="183"/>
      <c r="F42" s="177" t="s">
        <v>921</v>
      </c>
      <c r="G42" s="196" t="s">
        <v>713</v>
      </c>
      <c r="H42" s="176">
        <v>6.9444444444444441E-3</v>
      </c>
      <c r="I42" s="177"/>
      <c r="J42" s="177"/>
      <c r="K42" s="59"/>
      <c r="L42" s="59"/>
    </row>
    <row r="43" spans="1:12" ht="25.5" x14ac:dyDescent="0.2">
      <c r="A43" s="12"/>
      <c r="B43" s="13"/>
      <c r="C43" s="66" t="s">
        <v>917</v>
      </c>
      <c r="D43" s="183"/>
      <c r="F43" s="59" t="s">
        <v>918</v>
      </c>
      <c r="G43" s="196" t="s">
        <v>713</v>
      </c>
      <c r="H43" s="176">
        <v>6.9444444444444441E-3</v>
      </c>
      <c r="I43" s="177"/>
      <c r="J43" s="177"/>
      <c r="K43" s="59"/>
      <c r="L43" s="59"/>
    </row>
    <row r="44" spans="1:12" x14ac:dyDescent="0.2">
      <c r="A44" s="12"/>
      <c r="B44" s="172"/>
      <c r="C44" s="197"/>
      <c r="D44" s="182"/>
      <c r="E44" s="193"/>
      <c r="F44" s="193"/>
      <c r="G44" s="197"/>
      <c r="H44" s="176"/>
      <c r="I44" s="177"/>
      <c r="J44" s="177"/>
      <c r="K44" s="177"/>
      <c r="L44" s="177"/>
    </row>
    <row r="45" spans="1:12" x14ac:dyDescent="0.2">
      <c r="A45" s="12"/>
      <c r="B45" s="172"/>
      <c r="C45" s="197"/>
      <c r="D45" s="182"/>
      <c r="E45" s="193"/>
      <c r="F45" s="193"/>
      <c r="G45" s="197"/>
      <c r="H45" s="176"/>
      <c r="I45" s="177"/>
      <c r="J45" s="177"/>
      <c r="K45" s="177"/>
      <c r="L45" s="177"/>
    </row>
    <row r="46" spans="1:12" x14ac:dyDescent="0.2">
      <c r="A46" s="12"/>
      <c r="B46" s="172"/>
      <c r="C46" s="197"/>
      <c r="D46" s="182"/>
      <c r="E46" s="193"/>
      <c r="F46" s="193"/>
      <c r="G46" s="197"/>
      <c r="H46" s="176"/>
      <c r="I46" s="177"/>
      <c r="J46" s="177"/>
      <c r="K46" s="177"/>
      <c r="L46" s="91"/>
    </row>
    <row r="47" spans="1:12" x14ac:dyDescent="0.2">
      <c r="A47" s="12"/>
      <c r="B47" s="172"/>
      <c r="C47" s="197"/>
      <c r="D47" s="204"/>
      <c r="E47" s="205"/>
      <c r="F47" s="205"/>
      <c r="G47" s="197"/>
      <c r="H47" s="59"/>
      <c r="I47" s="183"/>
      <c r="J47" s="183"/>
      <c r="K47" s="183"/>
      <c r="L47" s="206"/>
    </row>
    <row r="48" spans="1:12" x14ac:dyDescent="0.2">
      <c r="A48" s="12"/>
      <c r="B48" s="13"/>
      <c r="C48" s="197"/>
      <c r="D48" s="182"/>
      <c r="E48" s="193"/>
      <c r="F48" s="193"/>
      <c r="G48" s="31"/>
      <c r="H48" s="176"/>
      <c r="I48" s="177"/>
      <c r="J48" s="177"/>
      <c r="K48" s="177"/>
      <c r="L48" s="197"/>
    </row>
    <row r="49" spans="1:12" x14ac:dyDescent="0.2">
      <c r="A49" s="37"/>
      <c r="B49" s="135"/>
      <c r="C49" s="45"/>
      <c r="D49" s="46"/>
      <c r="E49" s="47"/>
      <c r="F49" s="47"/>
      <c r="G49" s="48"/>
      <c r="H49" s="49"/>
      <c r="I49" s="50"/>
      <c r="J49" s="50"/>
      <c r="K49" s="45"/>
      <c r="L49" s="45"/>
    </row>
  </sheetData>
  <conditionalFormatting sqref="G28:G31 G4:G26 G33:G47">
    <cfRule type="cellIs" dxfId="7" priority="5" operator="equal">
      <formula>"N/A"</formula>
    </cfRule>
    <cfRule type="cellIs" dxfId="6" priority="6" stopIfTrue="1" operator="equal">
      <formula>"Failed"</formula>
    </cfRule>
    <cfRule type="cellIs" dxfId="5" priority="7" stopIfTrue="1" operator="equal">
      <formula>"In progress"</formula>
    </cfRule>
    <cfRule type="cellIs" dxfId="4" priority="8" stopIfTrue="1" operator="equal">
      <formula>"Passed"</formula>
    </cfRule>
  </conditionalFormatting>
  <conditionalFormatting sqref="G32">
    <cfRule type="cellIs" dxfId="3" priority="1" operator="equal">
      <formula>"N/A"</formula>
    </cfRule>
    <cfRule type="cellIs" dxfId="2" priority="2" stopIfTrue="1" operator="equal">
      <formula>"Failed"</formula>
    </cfRule>
    <cfRule type="cellIs" dxfId="1" priority="3" stopIfTrue="1" operator="equal">
      <formula>"In progress"</formula>
    </cfRule>
    <cfRule type="cellIs" dxfId="0" priority="4" stopIfTrue="1" operator="equal">
      <formula>"Passed"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C415C6E8824847BD9B0BF0C7410950" ma:contentTypeVersion="1" ma:contentTypeDescription="Crée un document." ma:contentTypeScope="" ma:versionID="d6d9d8908d916ec2f795a21a3fc3a0de">
  <xsd:schema xmlns:xsd="http://www.w3.org/2001/XMLSchema" xmlns:xs="http://www.w3.org/2001/XMLSchema" xmlns:p="http://schemas.microsoft.com/office/2006/metadata/properties" xmlns:ns2="http://schemas.microsoft.com/sharepoint/v3/fields" targetNamespace="http://schemas.microsoft.com/office/2006/metadata/properties" ma:root="true" ma:fieldsID="39a00e54750915b5b5bb32920c2a786c" ns2:_="">
    <xsd:import namespace="http://schemas.microsoft.com/sharepoint/v3/fields"/>
    <xsd:element name="properties">
      <xsd:complexType>
        <xsd:sequence>
          <xsd:element name="documentManagement">
            <xsd:complexType>
              <xsd:all>
                <xsd:element ref="ns2: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documentManagement>
</p:properties>
</file>

<file path=customXml/itemProps1.xml><?xml version="1.0" encoding="utf-8"?>
<ds:datastoreItem xmlns:ds="http://schemas.openxmlformats.org/officeDocument/2006/customXml" ds:itemID="{6B669A5B-11FB-4F2E-AEF3-92BEDE7C98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992A59-6CE9-4450-A1A8-D88F6E3481A5}">
  <ds:schemaRefs>
    <ds:schemaRef ds:uri="http://schemas.microsoft.com/sharepoint/v3/contenttype/forms"/>
  </ds:schemaRefs>
</ds:datastoreItem>
</file>

<file path=customXml/itemProps3.xml><?xml version="1.0" encoding="utf-8"?>
<ds:datastoreItem xmlns:ds="http://schemas.openxmlformats.org/officeDocument/2006/customXml" ds:itemID="{E720902E-ED73-4C31-B82D-995B4BAC52E0}">
  <ds:schemaRef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schemas.microsoft.com/sharepoint/v3/field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01 - Préparation</vt:lpstr>
      <vt:lpstr>02 - Upgrade online</vt:lpstr>
      <vt:lpstr>02' - Upgrade dowtime</vt:lpstr>
      <vt:lpstr>03 - Export - Import</vt:lpstr>
      <vt:lpstr>04 - Post Upgrade</vt:lpstr>
      <vt:lpstr>05 - Verif_fonc_DINR</vt:lpstr>
      <vt:lpstr>06 - Tranches</vt:lpstr>
      <vt:lpstr>07 - Liste d'OTs</vt:lpstr>
      <vt:lpstr>Ots consolidés controle </vt:lpstr>
      <vt:lpstr>Roll Back</vt:lpstr>
    </vt:vector>
  </TitlesOfParts>
  <Company>Air France - KLM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Chronogramme des opérations DR2</dc:title>
  <dc:creator>TAGUET Iris</dc:creator>
  <cp:lastModifiedBy>Jérôme Foucher</cp:lastModifiedBy>
  <cp:lastPrinted>2015-03-06T12:48:43Z</cp:lastPrinted>
  <dcterms:created xsi:type="dcterms:W3CDTF">2014-08-11T12:49:54Z</dcterms:created>
  <dcterms:modified xsi:type="dcterms:W3CDTF">2017-11-08T16:00:14Z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0x01010016C415C6E8824847BD9B0BF0C7410950</vt:lpwstr>
  </property>
</Properties>
</file>
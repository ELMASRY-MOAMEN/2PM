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pdelamaire\Downloads\J 1 ACCUEIL\"/>
    </mc:Choice>
  </mc:AlternateContent>
  <xr:revisionPtr revIDLastSave="0" documentId="13_ncr:1_{22D22927-9314-4025-97F2-AFFAAE1CCC0F}" xr6:coauthVersionLast="47" xr6:coauthVersionMax="47" xr10:uidLastSave="{00000000-0000-0000-0000-000000000000}"/>
  <bookViews>
    <workbookView xWindow="-120" yWindow="-120" windowWidth="29040" windowHeight="15720" tabRatio="595" activeTab="4" xr2:uid="{00000000-000D-0000-FFFF-FFFF00000000}"/>
  </bookViews>
  <sheets>
    <sheet name="Question" sheetId="2" r:id="rId1"/>
    <sheet name="Format données" sheetId="3" r:id="rId2"/>
    <sheet name="Cas de test" sheetId="5" r:id="rId3"/>
    <sheet name="Vols" sheetId="6" r:id="rId4"/>
    <sheet name="Passagers" sheetId="7" r:id="rId5"/>
    <sheet name="JDD" sheetId="4" r:id="rId6"/>
    <sheet name="Feuil1"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 i="4" l="1"/>
  <c r="J20" i="4"/>
  <c r="J21" i="4"/>
  <c r="J22" i="4"/>
  <c r="J23" i="4"/>
  <c r="J5" i="4"/>
  <c r="J6" i="4"/>
  <c r="J7" i="4"/>
  <c r="J8" i="4"/>
  <c r="J9" i="4"/>
  <c r="J10" i="4"/>
  <c r="J11" i="4"/>
  <c r="J12" i="4"/>
  <c r="J13" i="4"/>
  <c r="J14" i="4"/>
  <c r="J15" i="4"/>
  <c r="J16" i="4"/>
  <c r="J17" i="4"/>
  <c r="J18" i="4"/>
  <c r="J4" i="4"/>
  <c r="R52" i="4"/>
  <c r="R53" i="4"/>
  <c r="R54" i="4"/>
  <c r="R25" i="4"/>
  <c r="R26" i="4"/>
  <c r="R27" i="4"/>
  <c r="R28" i="4"/>
  <c r="R31" i="4"/>
  <c r="R32" i="4"/>
  <c r="R33" i="4"/>
  <c r="R34" i="4"/>
  <c r="R35" i="4"/>
  <c r="R36" i="4"/>
  <c r="R37" i="4"/>
  <c r="R38" i="4"/>
  <c r="R39" i="4"/>
  <c r="R40" i="4"/>
  <c r="R41" i="4"/>
  <c r="R42" i="4"/>
  <c r="R43" i="4"/>
  <c r="R44" i="4"/>
  <c r="R45" i="4"/>
  <c r="R46" i="4"/>
  <c r="R47" i="4"/>
  <c r="R48" i="4"/>
  <c r="R49" i="4"/>
  <c r="R50" i="4"/>
  <c r="R51" i="4"/>
  <c r="R5" i="4"/>
  <c r="R6" i="4"/>
  <c r="R7" i="4"/>
  <c r="R8" i="4"/>
  <c r="R9" i="4"/>
  <c r="R10" i="4"/>
  <c r="R11" i="4"/>
  <c r="R12" i="4"/>
  <c r="R19" i="4"/>
  <c r="R20" i="4"/>
  <c r="R21" i="4"/>
  <c r="R23" i="4"/>
  <c r="R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ASIP</author>
  </authors>
  <commentList>
    <comment ref="D8" authorId="0" shapeId="0" xr:uid="{00000000-0006-0000-0400-000001000000}">
      <text>
        <r>
          <rPr>
            <b/>
            <sz val="9"/>
            <color indexed="81"/>
            <rFont val="Tahoma"/>
            <family val="2"/>
          </rPr>
          <t>20 car. (max)</t>
        </r>
      </text>
    </comment>
    <comment ref="D9" authorId="0" shapeId="0" xr:uid="{00000000-0006-0000-0400-000002000000}">
      <text>
        <r>
          <rPr>
            <b/>
            <sz val="9"/>
            <color indexed="81"/>
            <rFont val="Tahoma"/>
            <family val="2"/>
          </rPr>
          <t>NON PASSANT: 21 caractères (max=20)</t>
        </r>
        <r>
          <rPr>
            <sz val="9"/>
            <color indexed="81"/>
            <rFont val="Tahoma"/>
            <family val="2"/>
          </rPr>
          <t xml:space="preserve">
</t>
        </r>
      </text>
    </comment>
    <comment ref="D10" authorId="0" shapeId="0" xr:uid="{00000000-0006-0000-0400-000003000000}">
      <text>
        <r>
          <rPr>
            <b/>
            <sz val="9"/>
            <color indexed="81"/>
            <rFont val="Tahoma"/>
            <family val="2"/>
          </rPr>
          <t>NON PASSANT  si donnée "tél" obligatoire:</t>
        </r>
        <r>
          <rPr>
            <sz val="9"/>
            <color indexed="81"/>
            <rFont val="Tahoma"/>
            <family val="2"/>
          </rPr>
          <t xml:space="preserve">
</t>
        </r>
      </text>
    </comment>
    <comment ref="B19" authorId="0" shapeId="0" xr:uid="{00000000-0006-0000-0400-000004000000}">
      <text>
        <r>
          <rPr>
            <sz val="9"/>
            <color indexed="81"/>
            <rFont val="Tahoma"/>
            <family val="2"/>
          </rPr>
          <t xml:space="preserve">Passant : Si majuscules accentuées autorisées seulement, Généralement non précisé ds les SFD, peut constituer une nouvelle exigence "implicite",
</t>
        </r>
      </text>
    </comment>
    <comment ref="B20" authorId="0" shapeId="0" xr:uid="{00000000-0006-0000-0400-000005000000}">
      <text>
        <r>
          <rPr>
            <b/>
            <sz val="9"/>
            <color indexed="81"/>
            <rFont val="Tahoma"/>
            <family val="2"/>
          </rPr>
          <t>NON PASSANT : 0 caractères (si précisé ds SFD que la donnée "Nom" est obligatoire)</t>
        </r>
      </text>
    </comment>
    <comment ref="B21" authorId="0" shapeId="0" xr:uid="{00000000-0006-0000-0400-000006000000}">
      <text>
        <r>
          <rPr>
            <b/>
            <sz val="9"/>
            <color indexed="81"/>
            <rFont val="Tahoma"/>
            <family val="2"/>
          </rPr>
          <t>NON PASSANT: 53 caractères</t>
        </r>
        <r>
          <rPr>
            <sz val="9"/>
            <color indexed="81"/>
            <rFont val="Tahoma"/>
            <family val="2"/>
          </rPr>
          <t xml:space="preserve">
</t>
        </r>
      </text>
    </comment>
  </commentList>
</comments>
</file>

<file path=xl/sharedStrings.xml><?xml version="1.0" encoding="utf-8"?>
<sst xmlns="http://schemas.openxmlformats.org/spreadsheetml/2006/main" count="831" uniqueCount="400">
  <si>
    <t>Type avion</t>
  </si>
  <si>
    <t>Contexte</t>
  </si>
  <si>
    <t>Enregistrer les passager consiste, à l'arrivée à l'aéroport :</t>
  </si>
  <si>
    <t>A lui donner une place dans l'avion,</t>
  </si>
  <si>
    <t>A vérifier le billet et l'identité de chaque personne,</t>
  </si>
  <si>
    <t>Une compagnie aérienne change son logiciel d'Enregistrement des passagers dans toutes les escales du monde.</t>
  </si>
  <si>
    <t>CDG</t>
  </si>
  <si>
    <t>B747</t>
  </si>
  <si>
    <t>B777</t>
  </si>
  <si>
    <t>A340</t>
  </si>
  <si>
    <t>A320</t>
  </si>
  <si>
    <t>A380</t>
  </si>
  <si>
    <t>LC</t>
  </si>
  <si>
    <t>F100</t>
  </si>
  <si>
    <t>Résultat à obtenir</t>
  </si>
  <si>
    <t>Nom</t>
  </si>
  <si>
    <t>Identifiant</t>
  </si>
  <si>
    <t>Passager</t>
  </si>
  <si>
    <t>Prénom</t>
  </si>
  <si>
    <t>Tél</t>
  </si>
  <si>
    <t>Donnée</t>
  </si>
  <si>
    <t>Nature</t>
  </si>
  <si>
    <t>texte sur 50 caracteres</t>
  </si>
  <si>
    <t>Billet</t>
  </si>
  <si>
    <t>Numéro</t>
  </si>
  <si>
    <t>Classe</t>
  </si>
  <si>
    <t>Tarif</t>
  </si>
  <si>
    <t>Num Fidel</t>
  </si>
  <si>
    <t>Num de place</t>
  </si>
  <si>
    <t>Num de résa</t>
  </si>
  <si>
    <t>Terminal</t>
  </si>
  <si>
    <t>Compagnie</t>
  </si>
  <si>
    <t>Vol</t>
  </si>
  <si>
    <t>Date</t>
  </si>
  <si>
    <t>Provenance</t>
  </si>
  <si>
    <t>Destination</t>
  </si>
  <si>
    <t>TypeAv</t>
  </si>
  <si>
    <t>TypePort</t>
  </si>
  <si>
    <t>NbPlaces</t>
  </si>
  <si>
    <t>Immat</t>
  </si>
  <si>
    <t>SCT</t>
  </si>
  <si>
    <t>EST</t>
  </si>
  <si>
    <t>20 caracteres</t>
  </si>
  <si>
    <t>2 caracteres</t>
  </si>
  <si>
    <t>Description</t>
  </si>
  <si>
    <t>[1,2,3,4,5,6]</t>
  </si>
  <si>
    <t>Classes</t>
  </si>
  <si>
    <t>Business</t>
  </si>
  <si>
    <t>First</t>
  </si>
  <si>
    <t>Premium</t>
  </si>
  <si>
    <t>[1,2,3,4]</t>
  </si>
  <si>
    <t>6 chiffres</t>
  </si>
  <si>
    <t>Format</t>
  </si>
  <si>
    <t>AAAAAA</t>
  </si>
  <si>
    <t>Exemple</t>
  </si>
  <si>
    <t>12345B</t>
  </si>
  <si>
    <t>AF-0023-CDG-JFK-123456</t>
  </si>
  <si>
    <t>AA</t>
  </si>
  <si>
    <t>AF</t>
  </si>
  <si>
    <t>AF123456</t>
  </si>
  <si>
    <t>3 alphanum</t>
  </si>
  <si>
    <t>12A</t>
  </si>
  <si>
    <t>07D</t>
  </si>
  <si>
    <t>6 alphanum</t>
  </si>
  <si>
    <t>123FRG</t>
  </si>
  <si>
    <t>1 num</t>
  </si>
  <si>
    <t>AA1234</t>
  </si>
  <si>
    <t>AF1234</t>
  </si>
  <si>
    <t>JJMMAA</t>
  </si>
  <si>
    <t>4 alphanum</t>
  </si>
  <si>
    <t>HHMM</t>
  </si>
  <si>
    <t>3 alpahnum</t>
  </si>
  <si>
    <t>AAA</t>
  </si>
  <si>
    <t>JFK</t>
  </si>
  <si>
    <t>2 alphanum</t>
  </si>
  <si>
    <t>3 num</t>
  </si>
  <si>
    <t>5 alphanum</t>
  </si>
  <si>
    <t>AAAAA</t>
  </si>
  <si>
    <t>FGRTE</t>
  </si>
  <si>
    <t>UM</t>
  </si>
  <si>
    <t>repas</t>
  </si>
  <si>
    <t>groupe</t>
  </si>
  <si>
    <t>PMR</t>
  </si>
  <si>
    <t>BB</t>
  </si>
  <si>
    <t>PassRef</t>
  </si>
  <si>
    <t>Repas</t>
  </si>
  <si>
    <t>Standard</t>
  </si>
  <si>
    <t>Végétarien</t>
  </si>
  <si>
    <t>SansPorc</t>
  </si>
  <si>
    <t>NuméroVol</t>
  </si>
  <si>
    <t>NuméroBillet</t>
  </si>
  <si>
    <t>TypeAV</t>
  </si>
  <si>
    <t>MC</t>
  </si>
  <si>
    <t>Age</t>
  </si>
  <si>
    <t>Num sur 3 caracteres</t>
  </si>
  <si>
    <t>Cas de test</t>
  </si>
  <si>
    <t>No</t>
  </si>
  <si>
    <t>1 adulte sur un vol LC à l'heure classe eco repas normal</t>
  </si>
  <si>
    <t>1 adulte sur un vol MC à l'heure classe eco repas normal</t>
  </si>
  <si>
    <t>1 enfant sur un vol MC à l'heure classe eco repas normal</t>
  </si>
  <si>
    <t>1 PMR sur un vol LC à l'heure classe eco repas végétarien</t>
  </si>
  <si>
    <t>1 adulte en retard - de 30' sur un vol LC à l'heure classe eco repas normal</t>
  </si>
  <si>
    <t>1 adulte sur un vol LC à l'heure classe premium repas sans porc</t>
  </si>
  <si>
    <t>1 enfant  en retard - de 30' sur un vol MC à l'heure classe eco repas normal</t>
  </si>
  <si>
    <t>1 adulte à l'heure sur un vol LC en retard classe eco repas normal</t>
  </si>
  <si>
    <t>HoraireEnregistr.</t>
  </si>
  <si>
    <t>AF1000</t>
  </si>
  <si>
    <t>ABCDE</t>
  </si>
  <si>
    <t>AF2000</t>
  </si>
  <si>
    <t>NCE</t>
  </si>
  <si>
    <t>AF3000</t>
  </si>
  <si>
    <t>LIM</t>
  </si>
  <si>
    <t>BBBBB</t>
  </si>
  <si>
    <t>AF4000</t>
  </si>
  <si>
    <t>BRL</t>
  </si>
  <si>
    <t>CCCCC</t>
  </si>
  <si>
    <t>P00001</t>
  </si>
  <si>
    <t>Thomas</t>
  </si>
  <si>
    <t>P00002</t>
  </si>
  <si>
    <t>P00003</t>
  </si>
  <si>
    <t>P00004</t>
  </si>
  <si>
    <t>P00005</t>
  </si>
  <si>
    <t>P00006</t>
  </si>
  <si>
    <t>P00007</t>
  </si>
  <si>
    <t>P00008</t>
  </si>
  <si>
    <t>P00009</t>
  </si>
  <si>
    <t>P00010</t>
  </si>
  <si>
    <t>P00011</t>
  </si>
  <si>
    <t>P00012</t>
  </si>
  <si>
    <t>AF-1000-CDG-JFK-P00001</t>
  </si>
  <si>
    <t>AA-1234-CDG-JFK-12345B</t>
  </si>
  <si>
    <t>AFP00001</t>
  </si>
  <si>
    <t>GroupeRef</t>
  </si>
  <si>
    <t>2 num</t>
  </si>
  <si>
    <t>Martin</t>
  </si>
  <si>
    <t>Bernard</t>
  </si>
  <si>
    <t>Dubois</t>
  </si>
  <si>
    <t>Robert</t>
  </si>
  <si>
    <t>Leroy</t>
  </si>
  <si>
    <t>Moreau</t>
  </si>
  <si>
    <t>Simon</t>
  </si>
  <si>
    <t>Laurent</t>
  </si>
  <si>
    <t>P00013</t>
  </si>
  <si>
    <t>P00014</t>
  </si>
  <si>
    <t>P00015</t>
  </si>
  <si>
    <t>P00016</t>
  </si>
  <si>
    <t>P00017</t>
  </si>
  <si>
    <t>P00018</t>
  </si>
  <si>
    <t>P00019</t>
  </si>
  <si>
    <t>P00020</t>
  </si>
  <si>
    <t>d'Isigny</t>
  </si>
  <si>
    <t>Aa</t>
  </si>
  <si>
    <t>ANDRIANIRINAHARIVELO</t>
  </si>
  <si>
    <t>Pourroy de l'Auberivière de Quinsonas-Oudinot de Reggio</t>
  </si>
  <si>
    <r>
      <t>Barth</t>
    </r>
    <r>
      <rPr>
        <b/>
        <sz val="10"/>
        <color rgb="FFFF0000"/>
        <rFont val="Arial"/>
        <family val="2"/>
      </rPr>
      <t>é</t>
    </r>
    <r>
      <rPr>
        <sz val="10"/>
        <rFont val="Arial"/>
      </rPr>
      <t>l</t>
    </r>
    <r>
      <rPr>
        <b/>
        <sz val="10"/>
        <color rgb="FFFF0000"/>
        <rFont val="Arial"/>
        <family val="2"/>
      </rPr>
      <t>é</t>
    </r>
    <r>
      <rPr>
        <sz val="10"/>
        <rFont val="Arial"/>
      </rPr>
      <t>my</t>
    </r>
  </si>
  <si>
    <r>
      <t>Fran</t>
    </r>
    <r>
      <rPr>
        <b/>
        <sz val="10"/>
        <color rgb="FFFF0000"/>
        <rFont val="Arial"/>
        <family val="2"/>
      </rPr>
      <t>ç</t>
    </r>
    <r>
      <rPr>
        <sz val="10"/>
        <rFont val="Arial"/>
      </rPr>
      <t>ais</t>
    </r>
  </si>
  <si>
    <r>
      <t>Dupont</t>
    </r>
    <r>
      <rPr>
        <b/>
        <sz val="10"/>
        <color rgb="FFFF0000"/>
        <rFont val="Arial"/>
        <family val="2"/>
      </rPr>
      <t>-</t>
    </r>
    <r>
      <rPr>
        <sz val="10"/>
        <rFont val="Arial"/>
      </rPr>
      <t>Durand</t>
    </r>
  </si>
  <si>
    <r>
      <t>de</t>
    </r>
    <r>
      <rPr>
        <sz val="10"/>
        <color rgb="FFFF0000"/>
        <rFont val="Arial"/>
        <family val="2"/>
      </rPr>
      <t xml:space="preserve"> </t>
    </r>
    <r>
      <rPr>
        <sz val="10"/>
        <rFont val="Arial"/>
      </rPr>
      <t>la Mirandole</t>
    </r>
  </si>
  <si>
    <t>Étienne</t>
  </si>
  <si>
    <t>Marie</t>
  </si>
  <si>
    <t>Nathalie</t>
  </si>
  <si>
    <t>Isabelle</t>
  </si>
  <si>
    <t>Sylvie</t>
  </si>
  <si>
    <t>Catherine</t>
  </si>
  <si>
    <t>Martine</t>
  </si>
  <si>
    <t>Christine</t>
  </si>
  <si>
    <t>Francoise</t>
  </si>
  <si>
    <t>Valerie</t>
  </si>
  <si>
    <t>Sandrine</t>
  </si>
  <si>
    <t>Stephanie</t>
  </si>
  <si>
    <t>Veronique</t>
  </si>
  <si>
    <t>Sophie</t>
  </si>
  <si>
    <t>Chantal</t>
  </si>
  <si>
    <t>Patricia</t>
  </si>
  <si>
    <t>Anne</t>
  </si>
  <si>
    <t>Brigitte</t>
  </si>
  <si>
    <t>Julie</t>
  </si>
  <si>
    <t>Monique</t>
  </si>
  <si>
    <t>texte sur 6 car. alphanumériques</t>
  </si>
  <si>
    <t>texte =&lt; 21 car. Alphanumériques</t>
  </si>
  <si>
    <t>+33111111111</t>
  </si>
  <si>
    <t>0111111111</t>
  </si>
  <si>
    <t>0111111112</t>
  </si>
  <si>
    <t>0111111113</t>
  </si>
  <si>
    <t>0111111114</t>
  </si>
  <si>
    <t>0111111115</t>
  </si>
  <si>
    <t>+3301234567891234567</t>
  </si>
  <si>
    <t>+33012345678912345678</t>
  </si>
  <si>
    <t>0142000001</t>
  </si>
  <si>
    <t>0142000002</t>
  </si>
  <si>
    <t>0142000003</t>
  </si>
  <si>
    <t>0142000004</t>
  </si>
  <si>
    <t>0142000005</t>
  </si>
  <si>
    <t>0142000006</t>
  </si>
  <si>
    <t>0142000007</t>
  </si>
  <si>
    <t>0142000008</t>
  </si>
  <si>
    <t>0142000009</t>
  </si>
  <si>
    <t>0142000010</t>
  </si>
  <si>
    <t>0142000011</t>
  </si>
  <si>
    <t>040</t>
  </si>
  <si>
    <t>035</t>
  </si>
  <si>
    <t>100</t>
  </si>
  <si>
    <t>099</t>
  </si>
  <si>
    <t>011</t>
  </si>
  <si>
    <t>012</t>
  </si>
  <si>
    <t>000</t>
  </si>
  <si>
    <t>002</t>
  </si>
  <si>
    <t>024</t>
  </si>
  <si>
    <t>059</t>
  </si>
  <si>
    <t>060</t>
  </si>
  <si>
    <t>021</t>
  </si>
  <si>
    <t>015</t>
  </si>
  <si>
    <t>018</t>
  </si>
  <si>
    <t>025</t>
  </si>
  <si>
    <t>026</t>
  </si>
  <si>
    <t>027</t>
  </si>
  <si>
    <t>AF-1000-CDG-JFK-P00002</t>
  </si>
  <si>
    <t>AF-1000-CDG-JFK-P00003</t>
  </si>
  <si>
    <t>AF-1000-CDG-JFK-P00004</t>
  </si>
  <si>
    <t>AF-1000-CDG-JFK-P00005</t>
  </si>
  <si>
    <t>AF-1000-CDG-JFK-P00006</t>
  </si>
  <si>
    <t>AF-1000-CDG-JFK-P00007</t>
  </si>
  <si>
    <t>AF-1000-CDG-JFK-P00008</t>
  </si>
  <si>
    <t>AF-1000-CDG-JFK-P00009</t>
  </si>
  <si>
    <t>AF-1000-CDG-JFK-P00016</t>
  </si>
  <si>
    <t>AF-1000-CDG-JFK-P00017</t>
  </si>
  <si>
    <t>AF-1000-CDG-JFK-P00018</t>
  </si>
  <si>
    <t>AF-1000-CDG-JFK-P00020</t>
  </si>
  <si>
    <t>07/11/2024</t>
  </si>
  <si>
    <t>AFP00002</t>
  </si>
  <si>
    <t>AFP00003</t>
  </si>
  <si>
    <t>AFP00004</t>
  </si>
  <si>
    <t>AFP00005</t>
  </si>
  <si>
    <t>AFP00006</t>
  </si>
  <si>
    <t>AFP00007</t>
  </si>
  <si>
    <t>AFP00008</t>
  </si>
  <si>
    <t>AFP00009</t>
  </si>
  <si>
    <t>AFP00010</t>
  </si>
  <si>
    <t>AFP00011</t>
  </si>
  <si>
    <t>AFP00012</t>
  </si>
  <si>
    <t>AFP00013</t>
  </si>
  <si>
    <t>AFP00014</t>
  </si>
  <si>
    <t>AFP00015</t>
  </si>
  <si>
    <t>AFP00016</t>
  </si>
  <si>
    <t>AFP00017</t>
  </si>
  <si>
    <t>AFP00018</t>
  </si>
  <si>
    <t>AFP00019</t>
  </si>
  <si>
    <t>AFP00020</t>
  </si>
  <si>
    <t>01</t>
  </si>
  <si>
    <t>02</t>
  </si>
  <si>
    <t>TermiN/Al</t>
  </si>
  <si>
    <t>N/A</t>
  </si>
  <si>
    <t>DONNÉES DÉDUITES DE "BILLET"</t>
  </si>
  <si>
    <t>CAS NOMINAUX</t>
  </si>
  <si>
    <t>DONNÉES COMPLÉMENTAIRES</t>
  </si>
  <si>
    <t>AF-1000-CDG-JFK-P00021</t>
  </si>
  <si>
    <t>AF-1000-CDG-JFK-P00022</t>
  </si>
  <si>
    <t>AF-1000-CDG-JFK-P00023</t>
  </si>
  <si>
    <t>AF-1000-CDG-JFK-P00024</t>
  </si>
  <si>
    <t>AF-1000-CDG-JFK-P00027</t>
  </si>
  <si>
    <t>AF-1000-CDG-JFK-P00028</t>
  </si>
  <si>
    <t>AF-1000-CDG-JFK-P00029</t>
  </si>
  <si>
    <t>AF-1000-CDG-JFK-P00030</t>
  </si>
  <si>
    <t>AF-1000-CDG-JFK-P00031</t>
  </si>
  <si>
    <t>AF-1000-CDG-JFK-P00032</t>
  </si>
  <si>
    <t>AF-1000-CDG-JFK-P00033</t>
  </si>
  <si>
    <t>AF-1000-CDG-JFK-P00034</t>
  </si>
  <si>
    <t>AF-1000-CDG-JFK-P00035</t>
  </si>
  <si>
    <t>AF-1000-CDG-JFK-P00036</t>
  </si>
  <si>
    <t>AF-1000-CDG-JFK-P00037</t>
  </si>
  <si>
    <t>AF-1000-CDG-JFK-P00038</t>
  </si>
  <si>
    <t>AF-1000-CDG-JFK-P00039</t>
  </si>
  <si>
    <t>AF-1000-CDG-JFK-P00040</t>
  </si>
  <si>
    <t>AF-1000-CDG-JFK-P00041</t>
  </si>
  <si>
    <t>AF-1000-CDG-JFK-P00042</t>
  </si>
  <si>
    <t>AF-1000-CDG-JFK-P00043</t>
  </si>
  <si>
    <t>AF-1000-CDG-JFK-P00044</t>
  </si>
  <si>
    <t>AF-1000-CDG-JFK-P00045</t>
  </si>
  <si>
    <t>AF-1000-CDG-JFK-P00046</t>
  </si>
  <si>
    <t>AF-1000-CDG-JFK-P00047</t>
  </si>
  <si>
    <t>AF1001</t>
  </si>
  <si>
    <t>AF1002</t>
  </si>
  <si>
    <t>AF1003</t>
  </si>
  <si>
    <t>AFP00021</t>
  </si>
  <si>
    <t>AFP00022</t>
  </si>
  <si>
    <t>AFP00023</t>
  </si>
  <si>
    <t>AFP00024</t>
  </si>
  <si>
    <t>AFP00025</t>
  </si>
  <si>
    <t>AFP00026</t>
  </si>
  <si>
    <t>AFP00027</t>
  </si>
  <si>
    <t>AFP00028</t>
  </si>
  <si>
    <t>AFP00029</t>
  </si>
  <si>
    <t>AFP00030</t>
  </si>
  <si>
    <t>AFP00031</t>
  </si>
  <si>
    <t>AFP00032</t>
  </si>
  <si>
    <t>AFP00033</t>
  </si>
  <si>
    <t>AFP00034</t>
  </si>
  <si>
    <t>AFP00035</t>
  </si>
  <si>
    <t>AFP00036</t>
  </si>
  <si>
    <t>AFP00037</t>
  </si>
  <si>
    <t>AFP00038</t>
  </si>
  <si>
    <t>AFP00039</t>
  </si>
  <si>
    <t>AFP00040</t>
  </si>
  <si>
    <t>AFP00041</t>
  </si>
  <si>
    <t>AFP00042</t>
  </si>
  <si>
    <t>AFP00043</t>
  </si>
  <si>
    <t>AFP00044</t>
  </si>
  <si>
    <t>AFP00045</t>
  </si>
  <si>
    <t>AFP00046</t>
  </si>
  <si>
    <t>AFP00047</t>
  </si>
  <si>
    <t>AF-1000-CDG-JFK-P00048</t>
  </si>
  <si>
    <t>AFP00048</t>
  </si>
  <si>
    <t>AF-1000-CDG-JFK-P00049</t>
  </si>
  <si>
    <t>AFP00049</t>
  </si>
  <si>
    <t>AF-1000-CDG-JFK-P00050</t>
  </si>
  <si>
    <t>AFP00050</t>
  </si>
  <si>
    <t>HeureDépartVol</t>
  </si>
  <si>
    <t>HeureEnregistrement</t>
  </si>
  <si>
    <t>CAS ALTERNATIFS</t>
  </si>
  <si>
    <r>
      <t>AF-1000-</t>
    </r>
    <r>
      <rPr>
        <b/>
        <sz val="10"/>
        <color rgb="FFC00000"/>
        <rFont val="Arial"/>
        <family val="2"/>
      </rPr>
      <t>NCE-BRU</t>
    </r>
    <r>
      <rPr>
        <sz val="10"/>
        <rFont val="Arial"/>
      </rPr>
      <t>-P00012</t>
    </r>
  </si>
  <si>
    <r>
      <t>AF-1000-</t>
    </r>
    <r>
      <rPr>
        <b/>
        <sz val="10"/>
        <color rgb="FFC00000"/>
        <rFont val="Arial"/>
        <family val="2"/>
      </rPr>
      <t>NCE-BRU</t>
    </r>
    <r>
      <rPr>
        <sz val="10"/>
        <rFont val="Arial"/>
      </rPr>
      <t>-P00013</t>
    </r>
  </si>
  <si>
    <r>
      <t>AF-1000-</t>
    </r>
    <r>
      <rPr>
        <b/>
        <sz val="10"/>
        <color rgb="FFC00000"/>
        <rFont val="Arial"/>
        <family val="2"/>
      </rPr>
      <t>NCE-BRU</t>
    </r>
    <r>
      <rPr>
        <sz val="10"/>
        <rFont val="Arial"/>
      </rPr>
      <t>-P00014</t>
    </r>
    <r>
      <rPr>
        <sz val="12"/>
        <color theme="1"/>
        <rFont val="Segoe UI"/>
        <family val="2"/>
      </rPr>
      <t/>
    </r>
  </si>
  <si>
    <r>
      <t>AF-1000-</t>
    </r>
    <r>
      <rPr>
        <b/>
        <sz val="10"/>
        <color rgb="FFC00000"/>
        <rFont val="Arial"/>
        <family val="2"/>
      </rPr>
      <t>NCE-BRU</t>
    </r>
    <r>
      <rPr>
        <sz val="10"/>
        <rFont val="Arial"/>
      </rPr>
      <t>-P00015</t>
    </r>
    <r>
      <rPr>
        <sz val="12"/>
        <color theme="1"/>
        <rFont val="Segoe UI"/>
        <family val="2"/>
      </rPr>
      <t/>
    </r>
  </si>
  <si>
    <t>OK</t>
  </si>
  <si>
    <t>KO</t>
  </si>
  <si>
    <t>Classe 1 / repas 1</t>
  </si>
  <si>
    <t>Classe 2 / Repas 2</t>
  </si>
  <si>
    <t>Classe 4 / Repas 4</t>
  </si>
  <si>
    <t>Bébé / REPAS ???</t>
  </si>
  <si>
    <t>Classe 3 / Repas 3
Groupe 01</t>
  </si>
  <si>
    <t>Groupe 01</t>
  </si>
  <si>
    <t>Groupe 02</t>
  </si>
  <si>
    <t>Mineur non accompagné</t>
  </si>
  <si>
    <r>
      <t>AF-1000-</t>
    </r>
    <r>
      <rPr>
        <b/>
        <sz val="10"/>
        <color rgb="FFC00000"/>
        <rFont val="Arial"/>
        <family val="2"/>
      </rPr>
      <t>NCE-BRU</t>
    </r>
    <r>
      <rPr>
        <sz val="10"/>
        <rFont val="Arial"/>
      </rPr>
      <t>-P00010</t>
    </r>
    <r>
      <rPr>
        <sz val="12"/>
        <color theme="1"/>
        <rFont val="Segoe UI"/>
        <family val="2"/>
      </rPr>
      <t/>
    </r>
  </si>
  <si>
    <r>
      <t>AF-1000-</t>
    </r>
    <r>
      <rPr>
        <b/>
        <sz val="10"/>
        <color rgb="FFC00000"/>
        <rFont val="Arial"/>
        <family val="2"/>
      </rPr>
      <t>NCE-BRU</t>
    </r>
    <r>
      <rPr>
        <sz val="10"/>
        <rFont val="Arial"/>
      </rPr>
      <t>-P00011</t>
    </r>
    <r>
      <rPr>
        <sz val="12"/>
        <color theme="1"/>
        <rFont val="Segoe UI"/>
        <family val="2"/>
      </rPr>
      <t/>
    </r>
  </si>
  <si>
    <t>Moyen courrier</t>
  </si>
  <si>
    <t>TypeAvion</t>
  </si>
  <si>
    <t>Places Max</t>
  </si>
  <si>
    <t>(NB : Recherche ou info MOA)</t>
  </si>
  <si>
    <t>Nombre de places passagers dans un :</t>
  </si>
  <si>
    <t>Boeing 747</t>
  </si>
  <si>
    <t>Boeing 777</t>
  </si>
  <si>
    <t>Airbus 340</t>
  </si>
  <si>
    <t>Airbus 320</t>
  </si>
  <si>
    <t>Airbus 380</t>
  </si>
  <si>
    <t>Falcon 100</t>
  </si>
  <si>
    <r>
      <t>AF-1000-</t>
    </r>
    <r>
      <rPr>
        <b/>
        <sz val="10"/>
        <color rgb="FFC00000"/>
        <rFont val="Arial"/>
        <family val="2"/>
      </rPr>
      <t>NCE-BRU</t>
    </r>
    <r>
      <rPr>
        <sz val="10"/>
        <rFont val="Arial"/>
      </rPr>
      <t>-P00019</t>
    </r>
  </si>
  <si>
    <t>Démarche :</t>
  </si>
  <si>
    <t>Déterminer l'objectif du jeu de données :</t>
  </si>
  <si>
    <t>On cherche a réaliser le moins de tests possible assurant la meilleure couverture possible</t>
  </si>
  <si>
    <t>Généralement munie d’un code-barres unique appelé BCBP (bar-coded boarding pass), la carte d’embarquement est un document essentiel pour passer dans la zone sécurisée et démontre que son détenteur à l’autorisation d’embarquer à bord du vol indiqué sur celle-ci. La validité des cartes d’embarquement est vérifiée à l’aide de lecteur automatique à la porte d’embarquement. Ce dernier permet de maintenir à jour les bases de données des compagnies aériennes indiquant que le passager est à bord et que les bagages enregistrés doivent demeurer dans l’appareil.</t>
  </si>
  <si>
    <t>Disponible en format électronique ou papier, on y retrouve au minimum le nom du passager, ainsi que des informations concernant le vol telles que le nom de la compagnie aérienne, le numéro de vol et le siège, la date et l’heure du vol, ainsi que les villes de départ et d’arrivée. D’autres détails indiquant les avantages d’un passager comme l’accès aux salons ou un embarquement prioritaire peuvent aussi être inscrits pour démontrer rapidement l’admissibilité du voyageur.</t>
  </si>
  <si>
    <t>Certaines données peuvent être mutualisées dans les cas de test, car elles ne modifient pas le traitement</t>
  </si>
  <si>
    <t>Par exemples, plusieurs passagers peuvent partager le même vol ou le même horaire</t>
  </si>
  <si>
    <t>XXX</t>
  </si>
  <si>
    <t>234FRG</t>
  </si>
  <si>
    <t>456FRG</t>
  </si>
  <si>
    <t>Carte Fidélité First</t>
  </si>
  <si>
    <t>Carte Fidélité Business</t>
  </si>
  <si>
    <t>Carte Fidélité Premium</t>
  </si>
  <si>
    <t>Réserve si nouveau cas identifié</t>
  </si>
  <si>
    <r>
      <t>AF-1000-</t>
    </r>
    <r>
      <rPr>
        <b/>
        <sz val="10"/>
        <color rgb="FFC00000"/>
        <rFont val="Arial"/>
        <family val="2"/>
      </rPr>
      <t>NCE-BRU</t>
    </r>
    <r>
      <rPr>
        <sz val="10"/>
        <rFont val="Arial"/>
      </rPr>
      <t>-P00025</t>
    </r>
  </si>
  <si>
    <r>
      <t>AF-1000-</t>
    </r>
    <r>
      <rPr>
        <b/>
        <sz val="10"/>
        <color rgb="FFC00000"/>
        <rFont val="Arial"/>
        <family val="2"/>
      </rPr>
      <t>NCE-BRU</t>
    </r>
    <r>
      <rPr>
        <sz val="10"/>
        <rFont val="Arial"/>
      </rPr>
      <t>-P00026</t>
    </r>
  </si>
  <si>
    <t>Trop tôt</t>
  </si>
  <si>
    <t>Trop tard</t>
  </si>
  <si>
    <t>KO ou OK ?</t>
  </si>
  <si>
    <t>H-2 "pile"</t>
  </si>
  <si>
    <t>H-30mn "pile"</t>
  </si>
  <si>
    <t>Trop tôt (Moyen courrier)</t>
  </si>
  <si>
    <t>Trop tard (Moyen courrier)</t>
  </si>
  <si>
    <t>À spécifier</t>
  </si>
  <si>
    <t>UM LIMITE ?</t>
  </si>
  <si>
    <t>PARTICULARITÉS</t>
  </si>
  <si>
    <t>centenaire (âge sur 3 chiffres)</t>
  </si>
  <si>
    <t>Céline</t>
  </si>
  <si>
    <t>ANDRIANIRIANAHARIVELO</t>
  </si>
  <si>
    <t>Économique</t>
  </si>
  <si>
    <t>N° de résa</t>
  </si>
  <si>
    <t>N° de place</t>
  </si>
  <si>
    <t>N° Fidel</t>
  </si>
  <si>
    <t>Un passager a un âge, peut être handicapé, voyage en individuel ou en groupe, possède un billet avec des desiderata particuliers</t>
  </si>
  <si>
    <t>Un bébé possède un billet, rattaché à celui du représentant légal qui l'accompagne, mais n'a pas de siège attribué</t>
  </si>
  <si>
    <t>Il devra comprendre des vols LC et MC, des passagers indiv/groupe, enfant, plat spéciaux, handicapé, etc…</t>
  </si>
  <si>
    <t>Contraintes &amp; Définitions</t>
  </si>
  <si>
    <r>
      <t xml:space="preserve">Un enfant de moins de 12 ans voyageant seul </t>
    </r>
    <r>
      <rPr>
        <b/>
        <sz val="10"/>
        <rFont val="Arial"/>
        <family val="2"/>
      </rPr>
      <t>(UM : Unaccompanied Minor)</t>
    </r>
    <r>
      <rPr>
        <sz val="10"/>
        <rFont val="Arial"/>
        <family val="2"/>
      </rPr>
      <t xml:space="preserve"> doit être accompagné par un steward (incrit sur sa carte d'embarquement)</t>
    </r>
  </si>
  <si>
    <r>
      <t>Une personne à mobilité réduite (</t>
    </r>
    <r>
      <rPr>
        <b/>
        <sz val="10"/>
        <rFont val="Arial"/>
        <family val="2"/>
      </rPr>
      <t>PMR</t>
    </r>
    <r>
      <rPr>
        <sz val="10"/>
        <rFont val="Arial"/>
        <family val="2"/>
      </rPr>
      <t>) peut demander l'aide d'un personnel dédié pour être accompagnée jusqu'à l'avion,</t>
    </r>
  </si>
  <si>
    <t>Un vol a une escale de départ, une escale d'arrivée, un type avion, un horaire de départ (ou d'arrivée) programmé, un horaire de départ (ou d'arrivée) réel</t>
  </si>
  <si>
    <r>
      <t>Un type d'avion implique un nombre de passagers maximum et une utilisation Long Courrier ou Moyen Courrier (</t>
    </r>
    <r>
      <rPr>
        <b/>
        <sz val="10"/>
        <rFont val="Arial"/>
        <family val="2"/>
      </rPr>
      <t>LC/MC</t>
    </r>
    <r>
      <rPr>
        <sz val="10"/>
        <rFont val="Arial"/>
      </rPr>
      <t>)</t>
    </r>
  </si>
  <si>
    <t>On cherche à construire un jeu de données OPTIMISÉ permettant de tester le logiciel d'enregistrement</t>
  </si>
  <si>
    <t>Chaque "ligne" du jeu de données pourra être utilisée pour vérifier plusieurs exigences, mais doit rester cohérent et réaliste</t>
  </si>
  <si>
    <r>
      <rPr>
        <b/>
        <sz val="10"/>
        <rFont val="Arial"/>
        <family val="2"/>
      </rPr>
      <t xml:space="preserve">
SCT (Scheduled Time)</t>
    </r>
    <r>
      <rPr>
        <sz val="10"/>
        <rFont val="Arial"/>
      </rPr>
      <t xml:space="preserve"> représente l'horaire prévu ou programmé pour le vol, généralement exprimé en heure locale de départ ou d'arrivée.
</t>
    </r>
    <r>
      <rPr>
        <i/>
        <sz val="10"/>
        <rFont val="Arial"/>
        <family val="2"/>
      </rPr>
      <t>Exemple : Si SCT = 1400, cela signifie que le vol est programmé pour partir ou arriver à 14h00, selon qu'il s'agit d'un horaire de départ ou d'arrivée.</t>
    </r>
    <r>
      <rPr>
        <sz val="10"/>
        <rFont val="Arial"/>
      </rPr>
      <t xml:space="preserve">
</t>
    </r>
    <r>
      <rPr>
        <b/>
        <sz val="10"/>
        <rFont val="Arial"/>
        <family val="2"/>
      </rPr>
      <t xml:space="preserve">
EST (Estimated Time)</t>
    </r>
    <r>
      <rPr>
        <sz val="10"/>
        <rFont val="Arial"/>
      </rPr>
      <t xml:space="preserve"> représente l'heure estimée réelle pour le départ ou l'arrivée, basée sur les dernières informations disponibles, comme des retards, des conditions opérationnelles, ou d'autres facteurs.
</t>
    </r>
    <r>
      <rPr>
        <i/>
        <sz val="10"/>
        <rFont val="Arial"/>
        <family val="2"/>
      </rPr>
      <t>Exemple : Si EST = 1430, cela signifie que l'heure estimée (révisée) de départ ou d'arrivée est 14h30.</t>
    </r>
    <r>
      <rPr>
        <sz val="10"/>
        <rFont val="Arial"/>
      </rPr>
      <t xml:space="preserve">
</t>
    </r>
    <r>
      <rPr>
        <b/>
        <sz val="10"/>
        <rFont val="Arial"/>
        <family val="2"/>
      </rPr>
      <t xml:space="preserve">
SCT indique donc l'horaire officiel et EST donne une mise à jour estimée en temps réel.</t>
    </r>
    <r>
      <rPr>
        <sz val="10"/>
        <rFont val="Arial"/>
      </rPr>
      <t xml:space="preserve"> 
Ces deux informations sont cruciales pour les passagers et l'équipe opérationnelle afin de suivre les modifications éventuelles par rapport au planning initial.</t>
    </r>
  </si>
  <si>
    <t>L'ensemble des passagers d'un vol doit être enregistré entre H-2 et H-30 min par rapport à l'heure de départ prévue du vol</t>
  </si>
  <si>
    <t>Un passager qui possède une carte de fidélité bénéficie d'accès et de services réservés,</t>
  </si>
  <si>
    <t>D'autres données sont susceptibles de modifier le traitement, ou justifient d'être spécifiées dans le JDD :</t>
  </si>
  <si>
    <r>
      <t>A émettre sa "</t>
    </r>
    <r>
      <rPr>
        <b/>
        <sz val="10"/>
        <rFont val="Arial"/>
        <family val="2"/>
      </rPr>
      <t>Carte d'embarquement</t>
    </r>
    <r>
      <rPr>
        <sz val="10"/>
        <rFont val="Arial"/>
        <family val="2"/>
      </rPr>
      <t>" qui va l'autoriser passer la douane, accéder à certaines zones réservées et à entrer/embarquer ensuite dans l'avion.</t>
    </r>
  </si>
  <si>
    <r>
      <t>Généralement munie d’un code-barres unique appelé BCBP (bar-coded boarding pass), la</t>
    </r>
    <r>
      <rPr>
        <b/>
        <sz val="10"/>
        <rFont val="Arial"/>
        <family val="2"/>
      </rPr>
      <t xml:space="preserve"> carte d’embarquement </t>
    </r>
    <r>
      <rPr>
        <sz val="10"/>
        <rFont val="Arial"/>
        <family val="2"/>
      </rPr>
      <t>est un document essentiel pour passer dans la zone sécurisée et démontre que son détenteur à l’autorisation d’embarquer à bord du vol indiqué sur celle-ci. 
La validité des cartes d’embarquement est vérifiée à l’aide de lecteurs automatiques à la porte d’embarquement. 
Ce dernier permet de maintenir à jour les bases de données des compagnies aériennes indiquant que le passager est à bord et que les bagages enregistrés doivent demeurer dans l’appareil.
Disponible en format électronique ou papier, on y retrouve au minimum le nom du passager, ainsi que des informations concernant le vol telles que le nom de la compagnie aérienne, le numéro de vol et le siège, la date et l’heure du vol, ainsi que les villes de départ et d’arrivée. 
D’autres détails indiquant les avantages d’un passager (comme l’accès aux salons ou un embarquement prioritaire) peuvent aussi y être inscrits pour démontrer rapidement l’admissibilité du voyageur.</t>
    </r>
  </si>
  <si>
    <t>NB : les données en colonne B sont données à titre d'exemple</t>
  </si>
  <si>
    <t xml:space="preserve">       À revoir et compléter !</t>
  </si>
  <si>
    <t>NB : les données de ce tableau sont données à titre d'exemple</t>
  </si>
  <si>
    <t>Groupe, UM, BB, PMR, repas choisi, classe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</si>
</sst>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0"/>
    <numFmt numFmtId="166" formatCode="0000"/>
    <numFmt numFmtId="167" formatCode="00"/>
  </numFmts>
  <fonts count="26" x14ac:knownFonts="1">
    <font>
      <sz val="10"/>
      <name val="Arial"/>
    </font>
    <font>
      <sz val="12"/>
      <color theme="1"/>
      <name val="Segoe UI"/>
      <family val="2"/>
    </font>
    <font>
      <b/>
      <sz val="10"/>
      <name val="Arial"/>
      <family val="2"/>
    </font>
    <font>
      <sz val="10"/>
      <name val="Arial"/>
      <family val="2"/>
    </font>
    <font>
      <b/>
      <sz val="12"/>
      <name val="Arial"/>
      <family val="2"/>
    </font>
    <font>
      <sz val="10"/>
      <color theme="0"/>
      <name val="Arial"/>
      <family val="2"/>
    </font>
    <font>
      <sz val="9"/>
      <color rgb="FF000000"/>
      <name val="Verdana"/>
      <family val="2"/>
    </font>
    <font>
      <b/>
      <sz val="10"/>
      <color rgb="FFFF0000"/>
      <name val="Arial"/>
      <family val="2"/>
    </font>
    <font>
      <sz val="10"/>
      <color rgb="FFFF0000"/>
      <name val="Arial"/>
      <family val="2"/>
    </font>
    <font>
      <sz val="9"/>
      <color indexed="81"/>
      <name val="Tahoma"/>
      <family val="2"/>
    </font>
    <font>
      <b/>
      <sz val="9"/>
      <color indexed="81"/>
      <name val="Tahoma"/>
      <family val="2"/>
    </font>
    <font>
      <sz val="11"/>
      <color rgb="FF252525"/>
      <name val="Arial"/>
      <family val="2"/>
    </font>
    <font>
      <sz val="8"/>
      <name val="Arial"/>
      <family val="2"/>
    </font>
    <font>
      <sz val="11"/>
      <name val="Arial"/>
      <family val="2"/>
    </font>
    <font>
      <b/>
      <sz val="14"/>
      <color theme="3" tint="-0.249977111117893"/>
      <name val="Arial"/>
      <family val="2"/>
    </font>
    <font>
      <b/>
      <sz val="12"/>
      <color theme="6" tint="-0.499984740745262"/>
      <name val="Arial"/>
      <family val="2"/>
    </font>
    <font>
      <b/>
      <sz val="10"/>
      <color rgb="FFC00000"/>
      <name val="Arial"/>
      <family val="2"/>
    </font>
    <font>
      <b/>
      <sz val="12"/>
      <color rgb="FFC00000"/>
      <name val="Arial"/>
      <family val="2"/>
    </font>
    <font>
      <b/>
      <sz val="10"/>
      <color rgb="FF008000"/>
      <name val="Arial"/>
      <family val="2"/>
    </font>
    <font>
      <b/>
      <sz val="11"/>
      <color rgb="FFC00000"/>
      <name val="Arial"/>
      <family val="2"/>
    </font>
    <font>
      <b/>
      <sz val="10"/>
      <color rgb="FFFF3300"/>
      <name val="Arial"/>
      <family val="2"/>
    </font>
    <font>
      <sz val="10"/>
      <color rgb="FFFF3300"/>
      <name val="Arial"/>
      <family val="2"/>
    </font>
    <font>
      <i/>
      <sz val="10"/>
      <name val="Arial"/>
      <family val="2"/>
    </font>
    <font>
      <b/>
      <sz val="12"/>
      <color theme="8" tint="-0.499984740745262"/>
      <name val="Arial"/>
      <family val="2"/>
    </font>
    <font>
      <sz val="12"/>
      <color theme="8" tint="-0.499984740745262"/>
      <name val="Arial"/>
      <family val="2"/>
    </font>
    <font>
      <b/>
      <sz val="28"/>
      <color rgb="FF008000"/>
      <name val="Arial"/>
      <family val="2"/>
    </font>
  </fonts>
  <fills count="15">
    <fill>
      <patternFill patternType="none"/>
    </fill>
    <fill>
      <patternFill patternType="gray125"/>
    </fill>
    <fill>
      <patternFill patternType="solid">
        <fgColor theme="3" tint="0.79998168889431442"/>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rgb="FF00B050"/>
        <bgColor indexed="64"/>
      </patternFill>
    </fill>
    <fill>
      <patternFill patternType="solid">
        <fgColor rgb="FF002060"/>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C00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176">
    <xf numFmtId="0" fontId="0" fillId="0" borderId="0" xfId="0"/>
    <xf numFmtId="0" fontId="2" fillId="0" borderId="0" xfId="0" applyFont="1"/>
    <xf numFmtId="0" fontId="3" fillId="0" borderId="1" xfId="0" applyFont="1" applyBorder="1"/>
    <xf numFmtId="0" fontId="0" fillId="0" borderId="1" xfId="0" applyBorder="1"/>
    <xf numFmtId="0" fontId="2" fillId="2" borderId="1" xfId="0" applyFont="1" applyFill="1" applyBorder="1" applyAlignment="1">
      <alignment horizontal="center"/>
    </xf>
    <xf numFmtId="0" fontId="3" fillId="0" borderId="0" xfId="0" applyFont="1"/>
    <xf numFmtId="0" fontId="3" fillId="0" borderId="1" xfId="0" applyFont="1" applyBorder="1" applyAlignment="1">
      <alignment horizontal="left"/>
    </xf>
    <xf numFmtId="0" fontId="3" fillId="0" borderId="0" xfId="0" applyFont="1" applyAlignment="1">
      <alignment horizontal="left"/>
    </xf>
    <xf numFmtId="0" fontId="3" fillId="0" borderId="1" xfId="0" applyFont="1" applyBorder="1" applyAlignment="1">
      <alignment horizontal="center"/>
    </xf>
    <xf numFmtId="0" fontId="0" fillId="0" borderId="1" xfId="0" applyBorder="1" applyAlignment="1">
      <alignment horizontal="center"/>
    </xf>
    <xf numFmtId="164" fontId="0" fillId="0" borderId="1" xfId="0" applyNumberFormat="1" applyBorder="1"/>
    <xf numFmtId="0" fontId="3" fillId="4" borderId="1" xfId="0" applyFont="1" applyFill="1" applyBorder="1"/>
    <xf numFmtId="0" fontId="5" fillId="5" borderId="1" xfId="0" applyFont="1" applyFill="1" applyBorder="1"/>
    <xf numFmtId="0" fontId="3" fillId="6" borderId="1" xfId="0" applyFont="1" applyFill="1" applyBorder="1"/>
    <xf numFmtId="0" fontId="3" fillId="7" borderId="1" xfId="0" applyFont="1" applyFill="1" applyBorder="1"/>
    <xf numFmtId="0" fontId="3" fillId="8" borderId="1" xfId="0" applyFont="1" applyFill="1" applyBorder="1"/>
    <xf numFmtId="0" fontId="5" fillId="9" borderId="1" xfId="0" applyFont="1" applyFill="1" applyBorder="1"/>
    <xf numFmtId="165" fontId="0" fillId="0" borderId="0" xfId="0" applyNumberFormat="1"/>
    <xf numFmtId="166" fontId="0" fillId="0" borderId="0" xfId="0" applyNumberFormat="1"/>
    <xf numFmtId="0" fontId="0" fillId="0" borderId="1" xfId="0" applyBorder="1" applyAlignment="1">
      <alignment horizontal="right"/>
    </xf>
    <xf numFmtId="165" fontId="0" fillId="0" borderId="1" xfId="0" applyNumberFormat="1" applyBorder="1" applyAlignment="1">
      <alignment horizontal="right"/>
    </xf>
    <xf numFmtId="166" fontId="0" fillId="0" borderId="1" xfId="0" applyNumberFormat="1" applyBorder="1" applyAlignment="1">
      <alignment horizontal="right"/>
    </xf>
    <xf numFmtId="0" fontId="3" fillId="0" borderId="1" xfId="0" applyFont="1" applyBorder="1" applyAlignment="1">
      <alignment horizontal="right"/>
    </xf>
    <xf numFmtId="0" fontId="0" fillId="0" borderId="5" xfId="0" applyBorder="1" applyAlignment="1">
      <alignment horizontal="right"/>
    </xf>
    <xf numFmtId="165" fontId="0" fillId="0" borderId="5" xfId="0" applyNumberFormat="1" applyBorder="1" applyAlignment="1">
      <alignment horizontal="right"/>
    </xf>
    <xf numFmtId="166" fontId="0" fillId="0" borderId="5" xfId="0" applyNumberFormat="1" applyBorder="1" applyAlignment="1">
      <alignment horizontal="right"/>
    </xf>
    <xf numFmtId="0" fontId="3" fillId="0" borderId="5" xfId="0" applyFont="1" applyBorder="1" applyAlignment="1">
      <alignment horizontal="right"/>
    </xf>
    <xf numFmtId="0" fontId="3" fillId="4" borderId="6" xfId="0" applyFont="1" applyFill="1" applyBorder="1"/>
    <xf numFmtId="165" fontId="5" fillId="9" borderId="7" xfId="0" applyNumberFormat="1" applyFont="1" applyFill="1" applyBorder="1"/>
    <xf numFmtId="166" fontId="3" fillId="0" borderId="7" xfId="0" applyNumberFormat="1" applyFont="1" applyBorder="1"/>
    <xf numFmtId="0" fontId="3" fillId="0" borderId="7" xfId="0" applyFont="1" applyBorder="1"/>
    <xf numFmtId="0" fontId="3" fillId="8" borderId="7" xfId="0" applyFont="1" applyFill="1" applyBorder="1"/>
    <xf numFmtId="0" fontId="3" fillId="0" borderId="8" xfId="0" applyFont="1" applyBorder="1"/>
    <xf numFmtId="0" fontId="3" fillId="2" borderId="1" xfId="0" applyFont="1" applyFill="1" applyBorder="1"/>
    <xf numFmtId="166" fontId="3" fillId="2" borderId="1" xfId="0" applyNumberFormat="1" applyFont="1" applyFill="1" applyBorder="1"/>
    <xf numFmtId="167" fontId="3" fillId="0" borderId="1" xfId="0" applyNumberFormat="1" applyFont="1" applyBorder="1" applyAlignment="1">
      <alignment horizontal="center"/>
    </xf>
    <xf numFmtId="0" fontId="3" fillId="2" borderId="1" xfId="0" applyFont="1" applyFill="1" applyBorder="1" applyAlignment="1">
      <alignment wrapText="1"/>
    </xf>
    <xf numFmtId="0" fontId="0" fillId="0" borderId="1" xfId="0" applyBorder="1" applyAlignment="1">
      <alignment wrapText="1"/>
    </xf>
    <xf numFmtId="0" fontId="6" fillId="0" borderId="1" xfId="0" applyFont="1" applyBorder="1" applyAlignment="1">
      <alignment wrapText="1"/>
    </xf>
    <xf numFmtId="0" fontId="0" fillId="0" borderId="0" xfId="0" applyAlignment="1">
      <alignment wrapText="1"/>
    </xf>
    <xf numFmtId="0" fontId="3" fillId="0" borderId="1" xfId="0" applyFont="1" applyBorder="1" applyAlignment="1">
      <alignment wrapText="1"/>
    </xf>
    <xf numFmtId="0" fontId="0" fillId="0" borderId="5" xfId="0" applyBorder="1"/>
    <xf numFmtId="0" fontId="3" fillId="5" borderId="1" xfId="0" applyFont="1" applyFill="1" applyBorder="1"/>
    <xf numFmtId="49" fontId="3" fillId="2" borderId="1" xfId="0" applyNumberFormat="1" applyFont="1" applyFill="1" applyBorder="1" applyAlignment="1">
      <alignment horizontal="center"/>
    </xf>
    <xf numFmtId="49" fontId="11" fillId="0" borderId="0" xfId="0" quotePrefix="1" applyNumberFormat="1" applyFont="1" applyAlignment="1">
      <alignment horizontal="center"/>
    </xf>
    <xf numFmtId="49" fontId="0" fillId="0" borderId="1" xfId="0" applyNumberFormat="1" applyBorder="1" applyAlignment="1">
      <alignment horizontal="center"/>
    </xf>
    <xf numFmtId="49" fontId="0" fillId="0" borderId="0" xfId="0" applyNumberFormat="1" applyAlignment="1">
      <alignment horizontal="center"/>
    </xf>
    <xf numFmtId="49" fontId="3" fillId="0" borderId="1" xfId="0" applyNumberFormat="1" applyFont="1" applyBorder="1" applyAlignment="1">
      <alignment horizontal="center"/>
    </xf>
    <xf numFmtId="49" fontId="3" fillId="0" borderId="1" xfId="0" quotePrefix="1" applyNumberFormat="1" applyFont="1" applyBorder="1" applyAlignment="1">
      <alignment horizontal="center"/>
    </xf>
    <xf numFmtId="49" fontId="3" fillId="2" borderId="1" xfId="0" applyNumberFormat="1" applyFont="1" applyFill="1" applyBorder="1"/>
    <xf numFmtId="49" fontId="0" fillId="0" borderId="1" xfId="0" applyNumberFormat="1" applyBorder="1"/>
    <xf numFmtId="49" fontId="0" fillId="0" borderId="0" xfId="0" applyNumberFormat="1"/>
    <xf numFmtId="49" fontId="3" fillId="0" borderId="1" xfId="0" applyNumberFormat="1" applyFont="1" applyBorder="1"/>
    <xf numFmtId="0" fontId="0" fillId="0" borderId="0" xfId="0" applyAlignment="1">
      <alignment horizontal="center" vertical="center"/>
    </xf>
    <xf numFmtId="49" fontId="0" fillId="0" borderId="0" xfId="0" applyNumberFormat="1" applyAlignment="1">
      <alignment horizontal="center" vertical="center"/>
    </xf>
    <xf numFmtId="0" fontId="2" fillId="0" borderId="0" xfId="0" applyFont="1" applyAlignment="1">
      <alignment horizontal="center" vertical="center"/>
    </xf>
    <xf numFmtId="0" fontId="0" fillId="0" borderId="10" xfId="0" applyBorder="1" applyAlignment="1">
      <alignment horizontal="center" vertical="center"/>
    </xf>
    <xf numFmtId="0" fontId="2" fillId="0" borderId="10" xfId="0" applyFont="1" applyBorder="1" applyAlignment="1">
      <alignment horizontal="center" vertical="center"/>
    </xf>
    <xf numFmtId="0" fontId="0" fillId="0" borderId="11" xfId="0" applyBorder="1" applyAlignment="1">
      <alignment horizontal="center" vertical="center"/>
    </xf>
    <xf numFmtId="49" fontId="3" fillId="0" borderId="0" xfId="0" applyNumberFormat="1" applyFont="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2" fillId="0" borderId="15" xfId="0" applyFont="1" applyBorder="1" applyAlignment="1">
      <alignment horizontal="center" vertical="center"/>
    </xf>
    <xf numFmtId="0" fontId="0" fillId="0" borderId="16" xfId="0" applyBorder="1" applyAlignment="1">
      <alignment horizontal="center" vertical="center"/>
    </xf>
    <xf numFmtId="0" fontId="3" fillId="10" borderId="10" xfId="0" applyFont="1" applyFill="1" applyBorder="1" applyAlignment="1">
      <alignment horizontal="center" vertical="center"/>
    </xf>
    <xf numFmtId="49" fontId="3" fillId="10" borderId="10" xfId="0" applyNumberFormat="1" applyFont="1" applyFill="1" applyBorder="1" applyAlignment="1">
      <alignment horizontal="center" vertical="center"/>
    </xf>
    <xf numFmtId="0" fontId="7" fillId="10" borderId="10" xfId="0" applyFont="1" applyFill="1" applyBorder="1" applyAlignment="1">
      <alignment horizontal="center" vertical="center"/>
    </xf>
    <xf numFmtId="0" fontId="0" fillId="10" borderId="10" xfId="0" applyFill="1" applyBorder="1" applyAlignment="1">
      <alignment horizontal="center" vertical="center"/>
    </xf>
    <xf numFmtId="0" fontId="2" fillId="10" borderId="10" xfId="0" applyFont="1" applyFill="1" applyBorder="1" applyAlignment="1">
      <alignment horizontal="center" vertical="center"/>
    </xf>
    <xf numFmtId="0" fontId="0" fillId="10" borderId="11" xfId="0" applyFill="1" applyBorder="1" applyAlignment="1">
      <alignment horizontal="center" vertical="center"/>
    </xf>
    <xf numFmtId="0" fontId="0" fillId="10" borderId="12" xfId="0" applyFill="1" applyBorder="1" applyAlignment="1">
      <alignment horizontal="center" vertical="center"/>
    </xf>
    <xf numFmtId="0" fontId="0" fillId="10" borderId="0" xfId="0" applyFill="1" applyAlignment="1">
      <alignment horizontal="center" vertical="center"/>
    </xf>
    <xf numFmtId="49" fontId="3" fillId="10" borderId="0" xfId="0" applyNumberFormat="1" applyFont="1" applyFill="1" applyAlignment="1">
      <alignment horizontal="center" vertical="center"/>
    </xf>
    <xf numFmtId="0" fontId="3" fillId="10" borderId="0" xfId="0" applyFont="1" applyFill="1" applyAlignment="1">
      <alignment horizontal="center" vertical="center"/>
    </xf>
    <xf numFmtId="0" fontId="7" fillId="10" borderId="0" xfId="0" applyFont="1" applyFill="1" applyAlignment="1">
      <alignment horizontal="center" vertical="center"/>
    </xf>
    <xf numFmtId="0" fontId="2" fillId="10" borderId="0" xfId="0" applyFont="1" applyFill="1" applyAlignment="1">
      <alignment horizontal="center" vertical="center"/>
    </xf>
    <xf numFmtId="0" fontId="0" fillId="10" borderId="13" xfId="0" applyFill="1" applyBorder="1" applyAlignment="1">
      <alignment horizontal="center" vertical="center"/>
    </xf>
    <xf numFmtId="0" fontId="0" fillId="10" borderId="14" xfId="0" applyFill="1" applyBorder="1" applyAlignment="1">
      <alignment horizontal="center" vertical="center"/>
    </xf>
    <xf numFmtId="0" fontId="0" fillId="10" borderId="15" xfId="0" applyFill="1" applyBorder="1" applyAlignment="1">
      <alignment horizontal="center" vertical="center"/>
    </xf>
    <xf numFmtId="49" fontId="3" fillId="10" borderId="15" xfId="0" applyNumberFormat="1" applyFont="1" applyFill="1" applyBorder="1" applyAlignment="1">
      <alignment horizontal="center" vertical="center"/>
    </xf>
    <xf numFmtId="0" fontId="3" fillId="10" borderId="15" xfId="0" applyFont="1" applyFill="1" applyBorder="1" applyAlignment="1">
      <alignment horizontal="center" vertical="center"/>
    </xf>
    <xf numFmtId="0" fontId="2" fillId="10" borderId="15" xfId="0" applyFont="1" applyFill="1" applyBorder="1" applyAlignment="1">
      <alignment horizontal="center" vertical="center"/>
    </xf>
    <xf numFmtId="0" fontId="0" fillId="10" borderId="16" xfId="0" applyFill="1" applyBorder="1" applyAlignment="1">
      <alignment horizontal="center" vertical="center"/>
    </xf>
    <xf numFmtId="0" fontId="3" fillId="10" borderId="12" xfId="0" applyFont="1" applyFill="1" applyBorder="1" applyAlignment="1">
      <alignment horizontal="center" vertical="center"/>
    </xf>
    <xf numFmtId="0" fontId="3" fillId="10" borderId="13" xfId="0" applyFont="1" applyFill="1" applyBorder="1" applyAlignment="1">
      <alignment horizontal="center" vertical="center"/>
    </xf>
    <xf numFmtId="0" fontId="2" fillId="11" borderId="18" xfId="0" applyFont="1" applyFill="1" applyBorder="1" applyAlignment="1">
      <alignment horizontal="center" vertical="center"/>
    </xf>
    <xf numFmtId="0" fontId="16" fillId="12" borderId="18" xfId="0" applyFont="1" applyFill="1" applyBorder="1"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16" fillId="12" borderId="18" xfId="0" applyFont="1" applyFill="1" applyBorder="1" applyAlignment="1">
      <alignment horizontal="center" vertical="center" wrapText="1"/>
    </xf>
    <xf numFmtId="0" fontId="18" fillId="0" borderId="9" xfId="0" applyFont="1" applyBorder="1" applyAlignment="1">
      <alignment horizontal="center" vertical="center"/>
    </xf>
    <xf numFmtId="0" fontId="0" fillId="10" borderId="9" xfId="0" applyFill="1" applyBorder="1" applyAlignment="1">
      <alignment horizontal="center" vertical="center"/>
    </xf>
    <xf numFmtId="0" fontId="18" fillId="0" borderId="12" xfId="0" applyFont="1" applyBorder="1" applyAlignment="1">
      <alignment horizontal="center" vertical="center"/>
    </xf>
    <xf numFmtId="0" fontId="19" fillId="0" borderId="9" xfId="0" applyFont="1" applyBorder="1"/>
    <xf numFmtId="0" fontId="0" fillId="0" borderId="10" xfId="0" applyBorder="1"/>
    <xf numFmtId="0" fontId="0" fillId="0" borderId="11" xfId="0" applyBorder="1"/>
    <xf numFmtId="0" fontId="13" fillId="0" borderId="12" xfId="0" applyFont="1" applyBorder="1"/>
    <xf numFmtId="0" fontId="0" fillId="0" borderId="13" xfId="0" applyBorder="1"/>
    <xf numFmtId="0" fontId="13" fillId="0" borderId="14" xfId="0" applyFont="1" applyBorder="1"/>
    <xf numFmtId="0" fontId="13" fillId="0" borderId="13" xfId="0" applyFont="1" applyBorder="1"/>
    <xf numFmtId="0" fontId="13" fillId="0" borderId="16" xfId="0" applyFont="1" applyBorder="1"/>
    <xf numFmtId="0" fontId="13" fillId="0" borderId="12" xfId="0" applyFont="1" applyBorder="1" applyAlignment="1">
      <alignment horizontal="center"/>
    </xf>
    <xf numFmtId="0" fontId="13" fillId="0" borderId="14" xfId="0" applyFont="1" applyBorder="1" applyAlignment="1">
      <alignment horizontal="center"/>
    </xf>
    <xf numFmtId="0" fontId="16" fillId="10" borderId="0" xfId="0" applyFont="1" applyFill="1" applyAlignment="1">
      <alignment horizontal="center" vertical="center"/>
    </xf>
    <xf numFmtId="0" fontId="3" fillId="0" borderId="0" xfId="0" applyFont="1" applyAlignment="1">
      <alignment horizontal="center" vertical="center" wrapText="1"/>
    </xf>
    <xf numFmtId="0" fontId="2" fillId="0" borderId="19" xfId="0" applyFont="1" applyBorder="1" applyAlignment="1">
      <alignment horizontal="center" vertical="center"/>
    </xf>
    <xf numFmtId="0" fontId="2" fillId="0" borderId="20" xfId="0" applyFont="1" applyBorder="1" applyAlignment="1">
      <alignment horizontal="center" vertical="center"/>
    </xf>
    <xf numFmtId="49" fontId="2" fillId="0" borderId="20" xfId="0" applyNumberFormat="1" applyFont="1" applyBorder="1" applyAlignment="1">
      <alignment horizontal="center" vertical="center"/>
    </xf>
    <xf numFmtId="49" fontId="2" fillId="0" borderId="21" xfId="0" applyNumberFormat="1" applyFont="1" applyBorder="1" applyAlignment="1">
      <alignment horizontal="center" vertical="center"/>
    </xf>
    <xf numFmtId="0" fontId="16" fillId="12" borderId="17" xfId="0" applyFont="1" applyFill="1" applyBorder="1" applyAlignment="1">
      <alignment horizontal="center" vertical="center"/>
    </xf>
    <xf numFmtId="0" fontId="0" fillId="13" borderId="9" xfId="0" applyFill="1" applyBorder="1" applyAlignment="1">
      <alignment horizontal="center" vertical="center"/>
    </xf>
    <xf numFmtId="0" fontId="0" fillId="13" borderId="10" xfId="0" applyFill="1" applyBorder="1" applyAlignment="1">
      <alignment horizontal="center" vertical="center"/>
    </xf>
    <xf numFmtId="49" fontId="3" fillId="13" borderId="10" xfId="0" applyNumberFormat="1" applyFont="1" applyFill="1" applyBorder="1" applyAlignment="1">
      <alignment horizontal="center" vertical="center"/>
    </xf>
    <xf numFmtId="0" fontId="3" fillId="13" borderId="10" xfId="0" applyFont="1" applyFill="1" applyBorder="1" applyAlignment="1">
      <alignment horizontal="center" vertical="center"/>
    </xf>
    <xf numFmtId="0" fontId="2" fillId="13" borderId="10" xfId="0" applyFont="1" applyFill="1" applyBorder="1" applyAlignment="1">
      <alignment horizontal="center" vertical="center"/>
    </xf>
    <xf numFmtId="0" fontId="0" fillId="13" borderId="11" xfId="0" applyFill="1" applyBorder="1" applyAlignment="1">
      <alignment horizontal="center" vertical="center"/>
    </xf>
    <xf numFmtId="0" fontId="0" fillId="13" borderId="12" xfId="0" applyFill="1" applyBorder="1" applyAlignment="1">
      <alignment horizontal="center" vertical="center"/>
    </xf>
    <xf numFmtId="0" fontId="0" fillId="13" borderId="13" xfId="0" applyFill="1" applyBorder="1" applyAlignment="1">
      <alignment horizontal="center" vertical="center"/>
    </xf>
    <xf numFmtId="0" fontId="0" fillId="13" borderId="14" xfId="0" applyFill="1" applyBorder="1" applyAlignment="1">
      <alignment horizontal="center" vertical="center"/>
    </xf>
    <xf numFmtId="0" fontId="0" fillId="13" borderId="15" xfId="0" applyFill="1" applyBorder="1" applyAlignment="1">
      <alignment horizontal="center" vertical="center"/>
    </xf>
    <xf numFmtId="49" fontId="3" fillId="13" borderId="15" xfId="0" applyNumberFormat="1" applyFont="1" applyFill="1" applyBorder="1" applyAlignment="1">
      <alignment horizontal="center" vertical="center"/>
    </xf>
    <xf numFmtId="0" fontId="3" fillId="13" borderId="15" xfId="0" applyFont="1" applyFill="1" applyBorder="1" applyAlignment="1">
      <alignment horizontal="center" vertical="center"/>
    </xf>
    <xf numFmtId="0" fontId="2" fillId="13" borderId="15" xfId="0" applyFont="1" applyFill="1" applyBorder="1" applyAlignment="1">
      <alignment horizontal="center" vertical="center"/>
    </xf>
    <xf numFmtId="0" fontId="0" fillId="13" borderId="16" xfId="0" applyFill="1" applyBorder="1" applyAlignment="1">
      <alignment horizontal="center" vertical="center"/>
    </xf>
    <xf numFmtId="0" fontId="16" fillId="0" borderId="9" xfId="0" applyFont="1" applyBorder="1" applyAlignment="1">
      <alignment horizontal="center" vertical="center"/>
    </xf>
    <xf numFmtId="0" fontId="3" fillId="0" borderId="10" xfId="0" applyFont="1" applyBorder="1" applyAlignment="1">
      <alignment horizontal="center" vertical="center" wrapText="1"/>
    </xf>
    <xf numFmtId="0" fontId="16" fillId="0" borderId="10" xfId="0" applyFont="1" applyBorder="1" applyAlignment="1">
      <alignment horizontal="center" vertical="center"/>
    </xf>
    <xf numFmtId="0" fontId="16" fillId="0" borderId="12" xfId="0" applyFont="1" applyBorder="1" applyAlignment="1">
      <alignment horizontal="center" vertical="center"/>
    </xf>
    <xf numFmtId="0" fontId="16" fillId="0" borderId="0" xfId="0" applyFont="1" applyAlignment="1">
      <alignment horizontal="center" vertical="center"/>
    </xf>
    <xf numFmtId="0" fontId="20" fillId="0" borderId="12" xfId="0" applyFont="1" applyBorder="1" applyAlignment="1">
      <alignment horizontal="center" vertical="center"/>
    </xf>
    <xf numFmtId="0" fontId="0" fillId="0" borderId="11" xfId="0" applyBorder="1" applyAlignment="1">
      <alignment horizontal="center"/>
    </xf>
    <xf numFmtId="0" fontId="0" fillId="0" borderId="13" xfId="0" applyBorder="1" applyAlignment="1">
      <alignment horizontal="center"/>
    </xf>
    <xf numFmtId="0" fontId="2" fillId="11" borderId="9" xfId="0" applyFont="1" applyFill="1" applyBorder="1" applyAlignment="1">
      <alignment horizontal="center" vertical="center"/>
    </xf>
    <xf numFmtId="0" fontId="2" fillId="11" borderId="10" xfId="0" applyFont="1" applyFill="1" applyBorder="1" applyAlignment="1">
      <alignment horizontal="center" vertical="center" wrapText="1"/>
    </xf>
    <xf numFmtId="0" fontId="2" fillId="11" borderId="10" xfId="0" applyFont="1" applyFill="1" applyBorder="1" applyAlignment="1">
      <alignment horizontal="center" vertical="center"/>
    </xf>
    <xf numFmtId="0" fontId="3" fillId="10" borderId="22" xfId="0" applyFont="1" applyFill="1" applyBorder="1" applyAlignment="1">
      <alignment horizontal="center" vertical="center"/>
    </xf>
    <xf numFmtId="0" fontId="3" fillId="10" borderId="11" xfId="0" applyFont="1" applyFill="1" applyBorder="1" applyAlignment="1">
      <alignment horizontal="center" vertical="center"/>
    </xf>
    <xf numFmtId="0" fontId="21" fillId="0" borderId="1" xfId="0" applyFont="1" applyBorder="1" applyAlignment="1">
      <alignment horizontal="center"/>
    </xf>
    <xf numFmtId="0" fontId="3" fillId="14" borderId="1" xfId="0" applyFont="1" applyFill="1" applyBorder="1"/>
    <xf numFmtId="0" fontId="3" fillId="0" borderId="0" xfId="0" applyFont="1" applyAlignment="1">
      <alignment wrapText="1"/>
    </xf>
    <xf numFmtId="0" fontId="3" fillId="0" borderId="0" xfId="0" applyFont="1" applyAlignment="1">
      <alignment vertical="top" wrapText="1"/>
    </xf>
    <xf numFmtId="0" fontId="7" fillId="0" borderId="9" xfId="0" applyFont="1" applyBorder="1"/>
    <xf numFmtId="0" fontId="7" fillId="0" borderId="10" xfId="0" applyFont="1" applyBorder="1"/>
    <xf numFmtId="0" fontId="7" fillId="0" borderId="11" xfId="0" applyFont="1" applyBorder="1"/>
    <xf numFmtId="0" fontId="7" fillId="0" borderId="14" xfId="0" applyFont="1" applyBorder="1"/>
    <xf numFmtId="0" fontId="7" fillId="0" borderId="15" xfId="0" applyFont="1" applyBorder="1"/>
    <xf numFmtId="0" fontId="7" fillId="0" borderId="16" xfId="0" applyFont="1" applyBorder="1"/>
    <xf numFmtId="0" fontId="23" fillId="0" borderId="0" xfId="0" applyFont="1"/>
    <xf numFmtId="0" fontId="24" fillId="0" borderId="0" xfId="0" applyFont="1"/>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14" fillId="0" borderId="0" xfId="0" applyFont="1" applyAlignment="1">
      <alignment horizontal="left" vertical="center"/>
    </xf>
    <xf numFmtId="0" fontId="0" fillId="0" borderId="0" xfId="0" applyAlignment="1">
      <alignment horizontal="left" vertical="center"/>
    </xf>
    <xf numFmtId="0" fontId="17" fillId="12" borderId="9" xfId="0" applyFont="1" applyFill="1" applyBorder="1" applyAlignment="1">
      <alignment horizontal="left" vertical="center"/>
    </xf>
    <xf numFmtId="0" fontId="17" fillId="12" borderId="10" xfId="0" applyFont="1" applyFill="1" applyBorder="1" applyAlignment="1">
      <alignment horizontal="left" vertical="center"/>
    </xf>
    <xf numFmtId="0" fontId="17" fillId="12" borderId="18" xfId="0" applyFont="1" applyFill="1" applyBorder="1" applyAlignment="1">
      <alignment horizontal="left" vertical="center"/>
    </xf>
    <xf numFmtId="0" fontId="18" fillId="0" borderId="9"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6" xfId="0" applyFont="1" applyBorder="1" applyAlignment="1">
      <alignment horizontal="center" vertical="center" wrapText="1"/>
    </xf>
    <xf numFmtId="0" fontId="14" fillId="0" borderId="0" xfId="0" applyFont="1" applyAlignment="1">
      <alignment horizontal="center" vertical="center"/>
    </xf>
    <xf numFmtId="0" fontId="0" fillId="0" borderId="0" xfId="0" applyAlignment="1">
      <alignment horizontal="center" vertical="center"/>
    </xf>
    <xf numFmtId="0" fontId="15" fillId="11" borderId="9" xfId="0" applyFont="1" applyFill="1" applyBorder="1" applyAlignment="1">
      <alignment horizontal="left" vertical="center"/>
    </xf>
    <xf numFmtId="0" fontId="15" fillId="11" borderId="10" xfId="0" applyFont="1" applyFill="1" applyBorder="1" applyAlignment="1">
      <alignment horizontal="left" vertical="center"/>
    </xf>
    <xf numFmtId="0" fontId="25" fillId="0" borderId="9"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15" xfId="0" applyFont="1" applyBorder="1" applyAlignment="1">
      <alignment horizontal="center" vertical="center" wrapText="1"/>
    </xf>
    <xf numFmtId="0" fontId="0" fillId="13" borderId="0" xfId="0" applyFill="1" applyBorder="1" applyAlignment="1">
      <alignment horizontal="center" vertical="center"/>
    </xf>
    <xf numFmtId="49" fontId="3" fillId="13" borderId="0" xfId="0" applyNumberFormat="1" applyFont="1" applyFill="1" applyBorder="1" applyAlignment="1">
      <alignment horizontal="center" vertical="center"/>
    </xf>
    <xf numFmtId="0" fontId="3" fillId="13" borderId="0" xfId="0" applyFont="1" applyFill="1" applyBorder="1" applyAlignment="1">
      <alignment horizontal="center" vertical="center"/>
    </xf>
    <xf numFmtId="0" fontId="2" fillId="13" borderId="0" xfId="0"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FF33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7</xdr:row>
      <xdr:rowOff>114300</xdr:rowOff>
    </xdr:from>
    <xdr:to>
      <xdr:col>1</xdr:col>
      <xdr:colOff>3114675</xdr:colOff>
      <xdr:row>7</xdr:row>
      <xdr:rowOff>1740041</xdr:rowOff>
    </xdr:to>
    <xdr:pic>
      <xdr:nvPicPr>
        <xdr:cNvPr id="3" name="Image 2">
          <a:extLst>
            <a:ext uri="{FF2B5EF4-FFF2-40B4-BE49-F238E27FC236}">
              <a16:creationId xmlns:a16="http://schemas.microsoft.com/office/drawing/2014/main" id="{5A7F6D62-77E4-43CB-8CCA-C86D68A93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5" y="1752600"/>
          <a:ext cx="3095625" cy="1625741"/>
        </a:xfrm>
        <a:prstGeom prst="rect">
          <a:avLst/>
        </a:prstGeom>
        <a:noFill/>
        <a:ln>
          <a:solidFill>
            <a:schemeClr val="accent1">
              <a:lumMod val="75000"/>
            </a:schemeClr>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showGridLines="0" workbookViewId="0">
      <selection activeCell="I4" sqref="I4"/>
    </sheetView>
  </sheetViews>
  <sheetFormatPr baseColWidth="10" defaultRowHeight="15" x14ac:dyDescent="0.2"/>
  <cols>
    <col min="1" max="1" width="10.42578125" style="148" customWidth="1"/>
    <col min="2" max="2" width="100.140625" bestFit="1" customWidth="1"/>
  </cols>
  <sheetData>
    <row r="1" spans="1:2" ht="15.75" x14ac:dyDescent="0.25">
      <c r="A1" s="147" t="s">
        <v>1</v>
      </c>
    </row>
    <row r="2" spans="1:2" ht="21" customHeight="1" x14ac:dyDescent="0.2">
      <c r="B2" t="s">
        <v>5</v>
      </c>
    </row>
    <row r="4" spans="1:2" ht="15.75" x14ac:dyDescent="0.25">
      <c r="A4" s="147" t="s">
        <v>2</v>
      </c>
    </row>
    <row r="5" spans="1:2" ht="23.25" customHeight="1" x14ac:dyDescent="0.2">
      <c r="B5" t="s">
        <v>4</v>
      </c>
    </row>
    <row r="6" spans="1:2" ht="23.25" customHeight="1" x14ac:dyDescent="0.2">
      <c r="B6" t="s">
        <v>3</v>
      </c>
    </row>
    <row r="7" spans="1:2" ht="23.25" customHeight="1" x14ac:dyDescent="0.2">
      <c r="B7" s="5" t="s">
        <v>394</v>
      </c>
    </row>
    <row r="8" spans="1:2" ht="145.5" customHeight="1" x14ac:dyDescent="0.2">
      <c r="B8" s="5"/>
    </row>
    <row r="9" spans="1:2" ht="145.5" customHeight="1" x14ac:dyDescent="0.2">
      <c r="B9" s="140" t="s">
        <v>395</v>
      </c>
    </row>
    <row r="10" spans="1:2" ht="27.75" customHeight="1" x14ac:dyDescent="0.25">
      <c r="A10" s="147" t="s">
        <v>383</v>
      </c>
    </row>
    <row r="11" spans="1:2" ht="22.5" customHeight="1" x14ac:dyDescent="0.2">
      <c r="B11" s="5" t="s">
        <v>391</v>
      </c>
    </row>
    <row r="12" spans="1:2" ht="22.5" customHeight="1" x14ac:dyDescent="0.2">
      <c r="B12" s="5" t="s">
        <v>384</v>
      </c>
    </row>
    <row r="13" spans="1:2" ht="22.5" customHeight="1" x14ac:dyDescent="0.2">
      <c r="B13" s="5" t="s">
        <v>385</v>
      </c>
    </row>
    <row r="14" spans="1:2" ht="22.5" customHeight="1" x14ac:dyDescent="0.2">
      <c r="B14" s="5" t="s">
        <v>386</v>
      </c>
    </row>
    <row r="15" spans="1:2" ht="22.5" customHeight="1" x14ac:dyDescent="0.2">
      <c r="B15" s="5" t="s">
        <v>387</v>
      </c>
    </row>
    <row r="16" spans="1:2" ht="22.5" customHeight="1" x14ac:dyDescent="0.2">
      <c r="B16" s="5" t="s">
        <v>380</v>
      </c>
    </row>
    <row r="17" spans="1:2" ht="22.5" customHeight="1" x14ac:dyDescent="0.2">
      <c r="B17" s="5" t="s">
        <v>381</v>
      </c>
    </row>
    <row r="18" spans="1:2" ht="22.5" customHeight="1" x14ac:dyDescent="0.2">
      <c r="B18" s="5" t="s">
        <v>392</v>
      </c>
    </row>
    <row r="19" spans="1:2" ht="165.75" x14ac:dyDescent="0.2">
      <c r="B19" s="139" t="s">
        <v>390</v>
      </c>
    </row>
    <row r="23" spans="1:2" ht="15.75" x14ac:dyDescent="0.25">
      <c r="A23" s="147" t="s">
        <v>14</v>
      </c>
    </row>
    <row r="24" spans="1:2" ht="15.75" x14ac:dyDescent="0.25">
      <c r="A24" s="147"/>
      <c r="B24" s="5" t="s">
        <v>388</v>
      </c>
    </row>
    <row r="25" spans="1:2" x14ac:dyDescent="0.2">
      <c r="B25" s="5" t="s">
        <v>382</v>
      </c>
    </row>
    <row r="26" spans="1:2" x14ac:dyDescent="0.2">
      <c r="B26" s="5" t="s">
        <v>389</v>
      </c>
    </row>
    <row r="28" spans="1:2" ht="15.75" x14ac:dyDescent="0.25">
      <c r="A28" s="147" t="s">
        <v>347</v>
      </c>
    </row>
    <row r="29" spans="1:2" x14ac:dyDescent="0.2">
      <c r="B29" s="5" t="s">
        <v>348</v>
      </c>
    </row>
    <row r="30" spans="1:2" x14ac:dyDescent="0.2">
      <c r="B30" s="5" t="s">
        <v>349</v>
      </c>
    </row>
    <row r="31" spans="1:2" x14ac:dyDescent="0.2">
      <c r="B31" s="5" t="s">
        <v>352</v>
      </c>
    </row>
    <row r="32" spans="1:2" x14ac:dyDescent="0.2">
      <c r="B32" s="5" t="s">
        <v>353</v>
      </c>
    </row>
    <row r="33" spans="2:2" x14ac:dyDescent="0.2">
      <c r="B33" s="5" t="s">
        <v>393</v>
      </c>
    </row>
    <row r="34" spans="2:2" x14ac:dyDescent="0.2">
      <c r="B34" s="5" t="s">
        <v>399</v>
      </c>
    </row>
    <row r="47" spans="2:2" ht="76.5" x14ac:dyDescent="0.2">
      <c r="B47" s="139" t="s">
        <v>350</v>
      </c>
    </row>
    <row r="48" spans="2:2" ht="63.75" x14ac:dyDescent="0.2">
      <c r="B48" s="39" t="s">
        <v>351</v>
      </c>
    </row>
  </sheetData>
  <phoneticPr fontId="0"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3"/>
  <sheetViews>
    <sheetView zoomScale="85" zoomScaleNormal="85" workbookViewId="0">
      <selection activeCell="H33" sqref="H33"/>
    </sheetView>
  </sheetViews>
  <sheetFormatPr baseColWidth="10" defaultRowHeight="12.75" x14ac:dyDescent="0.2"/>
  <cols>
    <col min="1" max="1" width="14.140625" bestFit="1" customWidth="1"/>
    <col min="2" max="2" width="30.42578125" customWidth="1"/>
    <col min="4" max="4" width="24.140625" customWidth="1"/>
    <col min="6" max="6" width="13.28515625" bestFit="1" customWidth="1"/>
    <col min="8" max="8" width="13" customWidth="1"/>
  </cols>
  <sheetData>
    <row r="1" spans="1:13" ht="24.75" customHeight="1" x14ac:dyDescent="0.2">
      <c r="A1" s="151" t="s">
        <v>17</v>
      </c>
      <c r="B1" s="151"/>
      <c r="C1" s="151"/>
      <c r="D1" s="151"/>
      <c r="F1" s="151" t="s">
        <v>0</v>
      </c>
      <c r="G1" s="151"/>
      <c r="H1" s="151"/>
      <c r="J1" s="149" t="s">
        <v>46</v>
      </c>
      <c r="K1" s="150"/>
    </row>
    <row r="2" spans="1:13" x14ac:dyDescent="0.2">
      <c r="A2" s="4" t="s">
        <v>20</v>
      </c>
      <c r="B2" s="4" t="s">
        <v>21</v>
      </c>
      <c r="C2" s="4" t="s">
        <v>52</v>
      </c>
      <c r="D2" s="4" t="s">
        <v>54</v>
      </c>
      <c r="F2" s="15" t="s">
        <v>24</v>
      </c>
      <c r="G2" s="2" t="s">
        <v>44</v>
      </c>
      <c r="H2" s="2" t="s">
        <v>91</v>
      </c>
      <c r="J2" s="14" t="s">
        <v>24</v>
      </c>
      <c r="K2" s="2" t="s">
        <v>44</v>
      </c>
    </row>
    <row r="3" spans="1:13" x14ac:dyDescent="0.2">
      <c r="A3" s="2" t="s">
        <v>16</v>
      </c>
      <c r="B3" s="2" t="s">
        <v>178</v>
      </c>
      <c r="C3" s="8" t="s">
        <v>53</v>
      </c>
      <c r="D3" s="8" t="s">
        <v>55</v>
      </c>
      <c r="F3" s="6">
        <v>1</v>
      </c>
      <c r="G3" s="3" t="s">
        <v>7</v>
      </c>
      <c r="H3" s="3" t="s">
        <v>12</v>
      </c>
      <c r="J3" s="6">
        <v>1</v>
      </c>
      <c r="K3" s="2" t="s">
        <v>376</v>
      </c>
    </row>
    <row r="4" spans="1:13" x14ac:dyDescent="0.2">
      <c r="A4" s="2" t="s">
        <v>15</v>
      </c>
      <c r="B4" s="2" t="s">
        <v>22</v>
      </c>
      <c r="C4" s="9"/>
      <c r="D4" s="9"/>
      <c r="F4" s="6">
        <v>2</v>
      </c>
      <c r="G4" s="3" t="s">
        <v>8</v>
      </c>
      <c r="H4" s="3" t="s">
        <v>12</v>
      </c>
      <c r="J4" s="6">
        <v>2</v>
      </c>
      <c r="K4" s="2" t="s">
        <v>49</v>
      </c>
    </row>
    <row r="5" spans="1:13" x14ac:dyDescent="0.2">
      <c r="A5" s="2" t="s">
        <v>18</v>
      </c>
      <c r="B5" s="2" t="s">
        <v>22</v>
      </c>
      <c r="C5" s="9"/>
      <c r="D5" s="9"/>
      <c r="F5" s="6">
        <v>3</v>
      </c>
      <c r="G5" s="3" t="s">
        <v>9</v>
      </c>
      <c r="H5" s="3" t="s">
        <v>12</v>
      </c>
      <c r="J5" s="6">
        <v>3</v>
      </c>
      <c r="K5" s="2" t="s">
        <v>47</v>
      </c>
    </row>
    <row r="6" spans="1:13" x14ac:dyDescent="0.2">
      <c r="A6" s="2" t="s">
        <v>19</v>
      </c>
      <c r="B6" s="2" t="s">
        <v>179</v>
      </c>
      <c r="C6" s="9"/>
      <c r="D6" s="9"/>
      <c r="F6" s="6">
        <v>4</v>
      </c>
      <c r="G6" s="3" t="s">
        <v>10</v>
      </c>
      <c r="H6" s="3" t="s">
        <v>92</v>
      </c>
      <c r="J6" s="6">
        <v>4</v>
      </c>
      <c r="K6" s="2" t="s">
        <v>48</v>
      </c>
      <c r="L6" s="7"/>
      <c r="M6" s="5"/>
    </row>
    <row r="7" spans="1:13" x14ac:dyDescent="0.2">
      <c r="A7" s="2" t="s">
        <v>93</v>
      </c>
      <c r="B7" s="2" t="s">
        <v>94</v>
      </c>
      <c r="C7" s="3">
        <v>123</v>
      </c>
      <c r="D7" s="10">
        <v>35</v>
      </c>
      <c r="F7" s="6">
        <v>5</v>
      </c>
      <c r="G7" s="3" t="s">
        <v>11</v>
      </c>
      <c r="H7" s="3" t="s">
        <v>12</v>
      </c>
      <c r="J7" s="7"/>
    </row>
    <row r="8" spans="1:13" x14ac:dyDescent="0.2">
      <c r="A8" s="12" t="s">
        <v>90</v>
      </c>
      <c r="B8" s="2" t="s">
        <v>42</v>
      </c>
      <c r="C8" s="9"/>
      <c r="D8" s="8" t="s">
        <v>130</v>
      </c>
      <c r="F8" s="6">
        <v>6</v>
      </c>
      <c r="G8" s="3" t="s">
        <v>13</v>
      </c>
      <c r="H8" s="3" t="s">
        <v>92</v>
      </c>
      <c r="J8" s="7"/>
    </row>
    <row r="11" spans="1:13" ht="15.75" x14ac:dyDescent="0.2">
      <c r="A11" s="149" t="s">
        <v>23</v>
      </c>
      <c r="B11" s="152"/>
      <c r="C11" s="152"/>
      <c r="D11" s="150"/>
      <c r="F11" s="149" t="s">
        <v>85</v>
      </c>
      <c r="G11" s="150"/>
    </row>
    <row r="12" spans="1:13" x14ac:dyDescent="0.2">
      <c r="A12" s="4" t="s">
        <v>20</v>
      </c>
      <c r="B12" s="4" t="s">
        <v>21</v>
      </c>
      <c r="C12" s="4" t="s">
        <v>52</v>
      </c>
      <c r="D12" s="4" t="s">
        <v>54</v>
      </c>
      <c r="F12" s="13" t="s">
        <v>24</v>
      </c>
      <c r="G12" s="2" t="s">
        <v>44</v>
      </c>
    </row>
    <row r="13" spans="1:13" x14ac:dyDescent="0.2">
      <c r="A13" s="12" t="s">
        <v>90</v>
      </c>
      <c r="B13" s="2" t="s">
        <v>42</v>
      </c>
      <c r="C13" s="9"/>
      <c r="D13" s="8" t="s">
        <v>130</v>
      </c>
      <c r="F13" s="6">
        <v>1</v>
      </c>
      <c r="G13" s="2" t="s">
        <v>86</v>
      </c>
    </row>
    <row r="14" spans="1:13" x14ac:dyDescent="0.2">
      <c r="A14" s="11" t="s">
        <v>89</v>
      </c>
      <c r="B14" s="2" t="s">
        <v>63</v>
      </c>
      <c r="C14" s="8" t="s">
        <v>66</v>
      </c>
      <c r="D14" s="8" t="s">
        <v>67</v>
      </c>
      <c r="F14" s="6">
        <v>2</v>
      </c>
      <c r="G14" s="2" t="s">
        <v>87</v>
      </c>
    </row>
    <row r="15" spans="1:13" x14ac:dyDescent="0.2">
      <c r="A15" s="16" t="s">
        <v>33</v>
      </c>
      <c r="B15" s="2" t="s">
        <v>63</v>
      </c>
      <c r="C15" s="8" t="s">
        <v>68</v>
      </c>
      <c r="D15" s="9">
        <v>150312</v>
      </c>
      <c r="F15" s="6">
        <v>3</v>
      </c>
      <c r="G15" s="2" t="s">
        <v>88</v>
      </c>
    </row>
    <row r="16" spans="1:13" x14ac:dyDescent="0.2">
      <c r="A16" s="2" t="s">
        <v>31</v>
      </c>
      <c r="B16" s="2" t="s">
        <v>43</v>
      </c>
      <c r="C16" s="8" t="s">
        <v>57</v>
      </c>
      <c r="D16" s="8" t="s">
        <v>58</v>
      </c>
    </row>
    <row r="17" spans="1:8" ht="13.5" thickBot="1" x14ac:dyDescent="0.25">
      <c r="A17" s="2" t="s">
        <v>377</v>
      </c>
      <c r="B17" s="2" t="s">
        <v>42</v>
      </c>
      <c r="C17" s="9"/>
      <c r="D17" s="8" t="s">
        <v>59</v>
      </c>
    </row>
    <row r="18" spans="1:8" ht="15" x14ac:dyDescent="0.25">
      <c r="A18" s="14" t="s">
        <v>25</v>
      </c>
      <c r="B18" s="2" t="s">
        <v>50</v>
      </c>
      <c r="C18" s="9">
        <v>1</v>
      </c>
      <c r="D18" s="9">
        <v>3</v>
      </c>
      <c r="F18" s="93" t="s">
        <v>338</v>
      </c>
      <c r="G18" s="94"/>
      <c r="H18" s="95"/>
    </row>
    <row r="19" spans="1:8" ht="14.25" x14ac:dyDescent="0.2">
      <c r="A19" s="2" t="s">
        <v>26</v>
      </c>
      <c r="B19" s="2" t="s">
        <v>51</v>
      </c>
      <c r="C19" s="9">
        <v>123456</v>
      </c>
      <c r="D19" s="9">
        <v>550</v>
      </c>
      <c r="F19" s="96" t="s">
        <v>339</v>
      </c>
      <c r="H19" s="97"/>
    </row>
    <row r="20" spans="1:8" ht="14.25" x14ac:dyDescent="0.2">
      <c r="A20" s="2" t="s">
        <v>378</v>
      </c>
      <c r="B20" s="2" t="s">
        <v>60</v>
      </c>
      <c r="C20" s="8" t="s">
        <v>61</v>
      </c>
      <c r="D20" s="8" t="s">
        <v>62</v>
      </c>
      <c r="F20" s="101">
        <v>1</v>
      </c>
      <c r="G20" s="96" t="s">
        <v>340</v>
      </c>
      <c r="H20" s="99">
        <v>460</v>
      </c>
    </row>
    <row r="21" spans="1:8" ht="14.25" x14ac:dyDescent="0.2">
      <c r="A21" s="2" t="s">
        <v>379</v>
      </c>
      <c r="B21" s="2" t="s">
        <v>63</v>
      </c>
      <c r="C21" s="8" t="s">
        <v>53</v>
      </c>
      <c r="D21" s="8" t="s">
        <v>64</v>
      </c>
      <c r="F21" s="101">
        <v>2</v>
      </c>
      <c r="G21" s="96" t="s">
        <v>341</v>
      </c>
      <c r="H21" s="99">
        <v>396</v>
      </c>
    </row>
    <row r="22" spans="1:8" ht="14.25" x14ac:dyDescent="0.2">
      <c r="A22" s="2" t="s">
        <v>30</v>
      </c>
      <c r="B22" s="2" t="s">
        <v>65</v>
      </c>
      <c r="C22" s="9">
        <v>1</v>
      </c>
      <c r="D22" s="9">
        <v>2</v>
      </c>
      <c r="F22" s="101">
        <v>3</v>
      </c>
      <c r="G22" s="96" t="s">
        <v>342</v>
      </c>
      <c r="H22" s="99">
        <v>440</v>
      </c>
    </row>
    <row r="23" spans="1:8" ht="14.25" x14ac:dyDescent="0.2">
      <c r="A23" s="2" t="s">
        <v>79</v>
      </c>
      <c r="B23" s="2" t="s">
        <v>65</v>
      </c>
      <c r="C23" s="9">
        <v>1</v>
      </c>
      <c r="D23" s="9">
        <v>0</v>
      </c>
      <c r="F23" s="101">
        <v>4</v>
      </c>
      <c r="G23" s="96" t="s">
        <v>343</v>
      </c>
      <c r="H23" s="99">
        <v>240</v>
      </c>
    </row>
    <row r="24" spans="1:8" ht="14.25" x14ac:dyDescent="0.2">
      <c r="A24" s="13" t="s">
        <v>80</v>
      </c>
      <c r="B24" s="2" t="s">
        <v>65</v>
      </c>
      <c r="C24" s="9">
        <v>1</v>
      </c>
      <c r="D24" s="9">
        <v>1</v>
      </c>
      <c r="F24" s="101">
        <v>5</v>
      </c>
      <c r="G24" s="96" t="s">
        <v>344</v>
      </c>
      <c r="H24" s="99">
        <v>650</v>
      </c>
    </row>
    <row r="25" spans="1:8" ht="15" thickBot="1" x14ac:dyDescent="0.25">
      <c r="A25" s="2" t="s">
        <v>81</v>
      </c>
      <c r="B25" s="2" t="s">
        <v>65</v>
      </c>
      <c r="C25" s="9">
        <v>1</v>
      </c>
      <c r="D25" s="9">
        <v>0</v>
      </c>
      <c r="F25" s="102">
        <v>6</v>
      </c>
      <c r="G25" s="98" t="s">
        <v>345</v>
      </c>
      <c r="H25" s="100">
        <v>6</v>
      </c>
    </row>
    <row r="26" spans="1:8" x14ac:dyDescent="0.2">
      <c r="A26" s="2" t="s">
        <v>82</v>
      </c>
      <c r="B26" s="2" t="s">
        <v>65</v>
      </c>
      <c r="C26" s="9">
        <v>1</v>
      </c>
      <c r="D26" s="9">
        <v>0</v>
      </c>
    </row>
    <row r="27" spans="1:8" x14ac:dyDescent="0.2">
      <c r="A27" s="2" t="s">
        <v>83</v>
      </c>
      <c r="B27" s="2" t="s">
        <v>65</v>
      </c>
      <c r="C27" s="9">
        <v>1</v>
      </c>
      <c r="D27" s="9">
        <v>0</v>
      </c>
    </row>
    <row r="28" spans="1:8" x14ac:dyDescent="0.2">
      <c r="A28" s="2" t="s">
        <v>84</v>
      </c>
      <c r="B28" s="2" t="s">
        <v>42</v>
      </c>
      <c r="C28" s="9"/>
      <c r="D28" s="8" t="s">
        <v>56</v>
      </c>
    </row>
    <row r="29" spans="1:8" x14ac:dyDescent="0.2">
      <c r="A29" s="2" t="s">
        <v>132</v>
      </c>
      <c r="B29" s="2" t="s">
        <v>133</v>
      </c>
      <c r="C29" s="9"/>
      <c r="D29" s="35">
        <v>1</v>
      </c>
    </row>
    <row r="32" spans="1:8" ht="15.75" x14ac:dyDescent="0.2">
      <c r="A32" s="151" t="s">
        <v>32</v>
      </c>
      <c r="B32" s="151"/>
      <c r="C32" s="151"/>
      <c r="D32" s="151"/>
    </row>
    <row r="33" spans="1:4" x14ac:dyDescent="0.2">
      <c r="A33" s="4" t="s">
        <v>20</v>
      </c>
      <c r="B33" s="4" t="s">
        <v>21</v>
      </c>
      <c r="C33" s="4" t="s">
        <v>52</v>
      </c>
      <c r="D33" s="4" t="s">
        <v>54</v>
      </c>
    </row>
    <row r="34" spans="1:4" x14ac:dyDescent="0.2">
      <c r="A34" s="11" t="s">
        <v>24</v>
      </c>
      <c r="B34" s="2" t="s">
        <v>63</v>
      </c>
      <c r="C34" s="8" t="s">
        <v>66</v>
      </c>
      <c r="D34" s="8" t="s">
        <v>67</v>
      </c>
    </row>
    <row r="35" spans="1:4" x14ac:dyDescent="0.2">
      <c r="A35" s="16" t="s">
        <v>33</v>
      </c>
      <c r="B35" s="2" t="s">
        <v>63</v>
      </c>
      <c r="C35" s="8" t="s">
        <v>68</v>
      </c>
      <c r="D35" s="9">
        <v>150312</v>
      </c>
    </row>
    <row r="36" spans="1:4" x14ac:dyDescent="0.2">
      <c r="A36" s="2" t="s">
        <v>40</v>
      </c>
      <c r="B36" s="2" t="s">
        <v>69</v>
      </c>
      <c r="C36" s="8" t="s">
        <v>70</v>
      </c>
      <c r="D36" s="9">
        <v>1530</v>
      </c>
    </row>
    <row r="37" spans="1:4" x14ac:dyDescent="0.2">
      <c r="A37" s="2" t="s">
        <v>41</v>
      </c>
      <c r="B37" s="2" t="s">
        <v>69</v>
      </c>
      <c r="C37" s="8" t="s">
        <v>70</v>
      </c>
      <c r="D37" s="9">
        <v>1530</v>
      </c>
    </row>
    <row r="38" spans="1:4" x14ac:dyDescent="0.2">
      <c r="A38" s="2" t="s">
        <v>34</v>
      </c>
      <c r="B38" s="2" t="s">
        <v>71</v>
      </c>
      <c r="C38" s="8" t="s">
        <v>72</v>
      </c>
      <c r="D38" s="8" t="s">
        <v>6</v>
      </c>
    </row>
    <row r="39" spans="1:4" x14ac:dyDescent="0.2">
      <c r="A39" s="2" t="s">
        <v>35</v>
      </c>
      <c r="B39" s="2" t="s">
        <v>71</v>
      </c>
      <c r="C39" s="8" t="s">
        <v>72</v>
      </c>
      <c r="D39" s="8" t="s">
        <v>73</v>
      </c>
    </row>
    <row r="40" spans="1:4" x14ac:dyDescent="0.2">
      <c r="A40" s="15" t="s">
        <v>36</v>
      </c>
      <c r="B40" s="2" t="s">
        <v>45</v>
      </c>
      <c r="C40" s="9">
        <v>1</v>
      </c>
      <c r="D40" s="9">
        <v>3</v>
      </c>
    </row>
    <row r="41" spans="1:4" x14ac:dyDescent="0.2">
      <c r="A41" s="2" t="s">
        <v>37</v>
      </c>
      <c r="B41" s="2" t="s">
        <v>74</v>
      </c>
      <c r="C41" s="8" t="s">
        <v>57</v>
      </c>
      <c r="D41" s="8" t="s">
        <v>12</v>
      </c>
    </row>
    <row r="42" spans="1:4" x14ac:dyDescent="0.2">
      <c r="A42" s="2" t="s">
        <v>38</v>
      </c>
      <c r="B42" s="2" t="s">
        <v>75</v>
      </c>
      <c r="C42" s="9">
        <v>123</v>
      </c>
      <c r="D42" s="9">
        <v>185</v>
      </c>
    </row>
    <row r="43" spans="1:4" x14ac:dyDescent="0.2">
      <c r="A43" s="2" t="s">
        <v>39</v>
      </c>
      <c r="B43" s="2" t="s">
        <v>76</v>
      </c>
      <c r="C43" s="8" t="s">
        <v>77</v>
      </c>
      <c r="D43" s="8" t="s">
        <v>78</v>
      </c>
    </row>
  </sheetData>
  <mergeCells count="6">
    <mergeCell ref="J1:K1"/>
    <mergeCell ref="F11:G11"/>
    <mergeCell ref="F1:H1"/>
    <mergeCell ref="A1:D1"/>
    <mergeCell ref="A32:D32"/>
    <mergeCell ref="A11:D11"/>
  </mergeCells>
  <phoneticPr fontId="0" type="noConversion"/>
  <pageMargins left="0.78740157499999996" right="0.78740157499999996" top="0.984251969" bottom="0.984251969" header="0.4921259845" footer="0.492125984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6"/>
  <sheetViews>
    <sheetView workbookViewId="0">
      <selection activeCell="D3" sqref="D3:H4"/>
    </sheetView>
  </sheetViews>
  <sheetFormatPr baseColWidth="10" defaultRowHeight="12.75" x14ac:dyDescent="0.2"/>
  <cols>
    <col min="2" max="2" width="68.28515625" customWidth="1"/>
  </cols>
  <sheetData>
    <row r="1" spans="1:8" x14ac:dyDescent="0.2">
      <c r="A1" t="s">
        <v>96</v>
      </c>
      <c r="B1" t="s">
        <v>95</v>
      </c>
    </row>
    <row r="2" spans="1:8" ht="13.5" thickBot="1" x14ac:dyDescent="0.25">
      <c r="A2">
        <v>1</v>
      </c>
      <c r="B2" t="s">
        <v>97</v>
      </c>
    </row>
    <row r="3" spans="1:8" x14ac:dyDescent="0.2">
      <c r="A3">
        <v>2</v>
      </c>
      <c r="B3" t="s">
        <v>98</v>
      </c>
      <c r="D3" s="141" t="s">
        <v>396</v>
      </c>
      <c r="E3" s="142"/>
      <c r="F3" s="142"/>
      <c r="G3" s="142"/>
      <c r="H3" s="143"/>
    </row>
    <row r="4" spans="1:8" ht="13.5" thickBot="1" x14ac:dyDescent="0.25">
      <c r="A4">
        <v>3</v>
      </c>
      <c r="B4" t="s">
        <v>99</v>
      </c>
      <c r="D4" s="144" t="s">
        <v>397</v>
      </c>
      <c r="E4" s="145"/>
      <c r="F4" s="145"/>
      <c r="G4" s="145"/>
      <c r="H4" s="146"/>
    </row>
    <row r="5" spans="1:8" x14ac:dyDescent="0.2">
      <c r="A5">
        <v>4</v>
      </c>
      <c r="B5" t="s">
        <v>100</v>
      </c>
    </row>
    <row r="6" spans="1:8" x14ac:dyDescent="0.2">
      <c r="A6">
        <v>5</v>
      </c>
      <c r="B6" t="s">
        <v>101</v>
      </c>
    </row>
    <row r="7" spans="1:8" x14ac:dyDescent="0.2">
      <c r="A7">
        <v>6</v>
      </c>
      <c r="B7" t="s">
        <v>102</v>
      </c>
    </row>
    <row r="8" spans="1:8" x14ac:dyDescent="0.2">
      <c r="A8">
        <v>7</v>
      </c>
      <c r="B8" t="s">
        <v>103</v>
      </c>
    </row>
    <row r="9" spans="1:8" x14ac:dyDescent="0.2">
      <c r="A9">
        <v>8</v>
      </c>
      <c r="B9" t="s">
        <v>104</v>
      </c>
    </row>
    <row r="10" spans="1:8" x14ac:dyDescent="0.2">
      <c r="A10">
        <v>9</v>
      </c>
    </row>
    <row r="11" spans="1:8" x14ac:dyDescent="0.2">
      <c r="A11">
        <v>10</v>
      </c>
    </row>
    <row r="12" spans="1:8" x14ac:dyDescent="0.2">
      <c r="A12">
        <v>11</v>
      </c>
    </row>
    <row r="13" spans="1:8" x14ac:dyDescent="0.2">
      <c r="A13">
        <v>12</v>
      </c>
    </row>
    <row r="14" spans="1:8" x14ac:dyDescent="0.2">
      <c r="A14">
        <v>13</v>
      </c>
    </row>
    <row r="15" spans="1:8" x14ac:dyDescent="0.2">
      <c r="A15">
        <v>14</v>
      </c>
    </row>
    <row r="16" spans="1:8" x14ac:dyDescent="0.2">
      <c r="A16">
        <v>15</v>
      </c>
    </row>
    <row r="17" spans="1:1" x14ac:dyDescent="0.2">
      <c r="A17">
        <v>16</v>
      </c>
    </row>
    <row r="18" spans="1:1" x14ac:dyDescent="0.2">
      <c r="A18">
        <v>17</v>
      </c>
    </row>
    <row r="19" spans="1:1" x14ac:dyDescent="0.2">
      <c r="A19">
        <v>18</v>
      </c>
    </row>
    <row r="20" spans="1:1" x14ac:dyDescent="0.2">
      <c r="A20">
        <v>19</v>
      </c>
    </row>
    <row r="21" spans="1:1" x14ac:dyDescent="0.2">
      <c r="A21">
        <v>20</v>
      </c>
    </row>
    <row r="22" spans="1:1" x14ac:dyDescent="0.2">
      <c r="A22">
        <v>21</v>
      </c>
    </row>
    <row r="23" spans="1:1" x14ac:dyDescent="0.2">
      <c r="A23">
        <v>22</v>
      </c>
    </row>
    <row r="24" spans="1:1" x14ac:dyDescent="0.2">
      <c r="A24">
        <v>23</v>
      </c>
    </row>
    <row r="25" spans="1:1" x14ac:dyDescent="0.2">
      <c r="A25">
        <v>24</v>
      </c>
    </row>
    <row r="26" spans="1:1" x14ac:dyDescent="0.2">
      <c r="A26">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3"/>
  <sheetViews>
    <sheetView workbookViewId="0">
      <selection activeCell="R30" sqref="R30"/>
    </sheetView>
  </sheetViews>
  <sheetFormatPr baseColWidth="10" defaultRowHeight="12.75" x14ac:dyDescent="0.2"/>
  <cols>
    <col min="2" max="2" width="11.42578125" style="17"/>
    <col min="3" max="4" width="11.42578125" style="18"/>
  </cols>
  <sheetData>
    <row r="1" spans="1:16" ht="13.5" thickBot="1" x14ac:dyDescent="0.25">
      <c r="A1" s="27" t="s">
        <v>24</v>
      </c>
      <c r="B1" s="28" t="s">
        <v>33</v>
      </c>
      <c r="C1" s="29" t="s">
        <v>40</v>
      </c>
      <c r="D1" s="29" t="s">
        <v>41</v>
      </c>
      <c r="E1" s="30" t="s">
        <v>34</v>
      </c>
      <c r="F1" s="30" t="s">
        <v>35</v>
      </c>
      <c r="G1" s="31" t="s">
        <v>36</v>
      </c>
      <c r="H1" s="30" t="s">
        <v>37</v>
      </c>
      <c r="I1" s="30" t="s">
        <v>38</v>
      </c>
      <c r="J1" s="32" t="s">
        <v>39</v>
      </c>
    </row>
    <row r="2" spans="1:16" x14ac:dyDescent="0.2">
      <c r="A2" s="23" t="s">
        <v>106</v>
      </c>
      <c r="B2" s="24">
        <v>71112</v>
      </c>
      <c r="C2" s="25">
        <v>730</v>
      </c>
      <c r="D2" s="25">
        <v>730</v>
      </c>
      <c r="E2" s="26" t="s">
        <v>6</v>
      </c>
      <c r="F2" s="26" t="s">
        <v>73</v>
      </c>
      <c r="G2" s="26">
        <v>5</v>
      </c>
      <c r="H2" s="26" t="s">
        <v>12</v>
      </c>
      <c r="I2" s="23">
        <v>250</v>
      </c>
      <c r="J2" s="26" t="s">
        <v>107</v>
      </c>
    </row>
    <row r="3" spans="1:16" ht="13.5" thickBot="1" x14ac:dyDescent="0.25">
      <c r="A3" s="22" t="s">
        <v>108</v>
      </c>
      <c r="B3" s="20">
        <v>71112</v>
      </c>
      <c r="C3" s="21">
        <v>830</v>
      </c>
      <c r="D3" s="21">
        <v>830</v>
      </c>
      <c r="E3" s="22" t="s">
        <v>6</v>
      </c>
      <c r="F3" s="22" t="s">
        <v>109</v>
      </c>
      <c r="G3" s="19">
        <v>4</v>
      </c>
      <c r="H3" s="22" t="s">
        <v>92</v>
      </c>
      <c r="I3" s="19">
        <v>85</v>
      </c>
      <c r="J3" s="22" t="s">
        <v>77</v>
      </c>
    </row>
    <row r="4" spans="1:16" x14ac:dyDescent="0.2">
      <c r="A4" s="22" t="s">
        <v>110</v>
      </c>
      <c r="B4" s="20">
        <v>71112</v>
      </c>
      <c r="C4" s="21">
        <v>930</v>
      </c>
      <c r="D4" s="21">
        <v>1030</v>
      </c>
      <c r="E4" s="22" t="s">
        <v>6</v>
      </c>
      <c r="F4" s="22" t="s">
        <v>111</v>
      </c>
      <c r="G4" s="19">
        <v>3</v>
      </c>
      <c r="H4" s="22" t="s">
        <v>12</v>
      </c>
      <c r="I4" s="19">
        <v>210</v>
      </c>
      <c r="J4" s="22" t="s">
        <v>112</v>
      </c>
      <c r="L4" s="141" t="s">
        <v>398</v>
      </c>
      <c r="M4" s="142"/>
      <c r="N4" s="142"/>
      <c r="O4" s="142"/>
      <c r="P4" s="143"/>
    </row>
    <row r="5" spans="1:16" ht="13.5" thickBot="1" x14ac:dyDescent="0.25">
      <c r="A5" s="22" t="s">
        <v>113</v>
      </c>
      <c r="B5" s="20">
        <v>71112</v>
      </c>
      <c r="C5" s="21">
        <v>1400</v>
      </c>
      <c r="D5" s="21">
        <v>1500</v>
      </c>
      <c r="E5" s="22" t="s">
        <v>6</v>
      </c>
      <c r="F5" s="22" t="s">
        <v>114</v>
      </c>
      <c r="G5" s="19">
        <v>6</v>
      </c>
      <c r="H5" s="22" t="s">
        <v>92</v>
      </c>
      <c r="I5" s="19">
        <v>70</v>
      </c>
      <c r="J5" s="22" t="s">
        <v>115</v>
      </c>
      <c r="L5" s="144" t="s">
        <v>397</v>
      </c>
      <c r="M5" s="145"/>
      <c r="N5" s="145"/>
      <c r="O5" s="145"/>
      <c r="P5" s="146"/>
    </row>
    <row r="6" spans="1:16" x14ac:dyDescent="0.2">
      <c r="A6" s="19"/>
      <c r="B6" s="20"/>
      <c r="C6" s="21"/>
      <c r="D6" s="21"/>
      <c r="E6" s="19"/>
      <c r="F6" s="19"/>
      <c r="G6" s="19"/>
      <c r="H6" s="19"/>
      <c r="I6" s="19"/>
      <c r="J6" s="19"/>
    </row>
    <row r="7" spans="1:16" x14ac:dyDescent="0.2">
      <c r="A7" s="19"/>
      <c r="B7" s="20"/>
      <c r="C7" s="21"/>
      <c r="D7" s="21"/>
      <c r="E7" s="19"/>
      <c r="F7" s="19"/>
      <c r="G7" s="19"/>
      <c r="H7" s="19"/>
      <c r="I7" s="19"/>
      <c r="J7" s="19"/>
    </row>
    <row r="8" spans="1:16" x14ac:dyDescent="0.2">
      <c r="A8" s="19"/>
      <c r="B8" s="20"/>
      <c r="C8" s="21"/>
      <c r="D8" s="21"/>
      <c r="E8" s="19"/>
      <c r="F8" s="19"/>
      <c r="G8" s="19"/>
      <c r="H8" s="19"/>
      <c r="I8" s="19"/>
      <c r="J8" s="19"/>
    </row>
    <row r="9" spans="1:16" x14ac:dyDescent="0.2">
      <c r="A9" s="19"/>
      <c r="B9" s="20"/>
      <c r="C9" s="21"/>
      <c r="D9" s="21"/>
      <c r="E9" s="19"/>
      <c r="F9" s="19"/>
      <c r="G9" s="19"/>
      <c r="H9" s="19"/>
      <c r="I9" s="19"/>
      <c r="J9" s="19"/>
    </row>
    <row r="10" spans="1:16" x14ac:dyDescent="0.2">
      <c r="A10" s="19"/>
      <c r="B10" s="20"/>
      <c r="C10" s="21"/>
      <c r="D10" s="21"/>
      <c r="E10" s="19"/>
      <c r="F10" s="19"/>
      <c r="G10" s="19"/>
      <c r="H10" s="19"/>
      <c r="I10" s="19"/>
      <c r="J10" s="19"/>
    </row>
    <row r="11" spans="1:16" x14ac:dyDescent="0.2">
      <c r="A11" s="19"/>
      <c r="B11" s="20"/>
      <c r="C11" s="21"/>
      <c r="D11" s="21"/>
      <c r="E11" s="19"/>
      <c r="F11" s="19"/>
      <c r="G11" s="19"/>
      <c r="H11" s="19"/>
      <c r="I11" s="19"/>
      <c r="J11" s="19"/>
    </row>
    <row r="12" spans="1:16" x14ac:dyDescent="0.2">
      <c r="A12" s="19"/>
      <c r="B12" s="20"/>
      <c r="C12" s="21"/>
      <c r="D12" s="21"/>
      <c r="E12" s="19"/>
      <c r="F12" s="19"/>
      <c r="G12" s="19"/>
      <c r="H12" s="19"/>
      <c r="I12" s="19"/>
      <c r="J12" s="19"/>
    </row>
    <row r="13" spans="1:16" x14ac:dyDescent="0.2">
      <c r="A13" s="19"/>
      <c r="B13" s="20"/>
      <c r="C13" s="21"/>
      <c r="D13" s="21"/>
      <c r="E13" s="19"/>
      <c r="F13" s="19"/>
      <c r="G13" s="19"/>
      <c r="H13" s="19"/>
      <c r="I13" s="19"/>
      <c r="J13" s="19"/>
    </row>
    <row r="14" spans="1:16" x14ac:dyDescent="0.2">
      <c r="A14" s="19"/>
      <c r="B14" s="20"/>
      <c r="C14" s="21"/>
      <c r="D14" s="21"/>
      <c r="E14" s="19"/>
      <c r="F14" s="19"/>
      <c r="G14" s="19"/>
      <c r="H14" s="19"/>
      <c r="I14" s="19"/>
      <c r="J14" s="19"/>
    </row>
    <row r="15" spans="1:16" x14ac:dyDescent="0.2">
      <c r="A15" s="19"/>
      <c r="B15" s="20"/>
      <c r="C15" s="21"/>
      <c r="D15" s="21"/>
      <c r="E15" s="19"/>
      <c r="F15" s="19"/>
      <c r="G15" s="19"/>
      <c r="H15" s="19"/>
      <c r="I15" s="19"/>
      <c r="J15" s="19"/>
    </row>
    <row r="16" spans="1:16" x14ac:dyDescent="0.2">
      <c r="A16" s="19"/>
      <c r="B16" s="20"/>
      <c r="C16" s="21"/>
      <c r="D16" s="21"/>
      <c r="E16" s="19"/>
      <c r="F16" s="19"/>
      <c r="G16" s="19"/>
      <c r="H16" s="19"/>
      <c r="I16" s="19"/>
      <c r="J16" s="19"/>
    </row>
    <row r="17" spans="1:10" x14ac:dyDescent="0.2">
      <c r="A17" s="19"/>
      <c r="B17" s="20"/>
      <c r="C17" s="21"/>
      <c r="D17" s="21"/>
      <c r="E17" s="19"/>
      <c r="F17" s="19"/>
      <c r="G17" s="19"/>
      <c r="H17" s="19"/>
      <c r="I17" s="19"/>
      <c r="J17" s="19"/>
    </row>
    <row r="18" spans="1:10" x14ac:dyDescent="0.2">
      <c r="A18" s="19"/>
      <c r="B18" s="20"/>
      <c r="C18" s="21"/>
      <c r="D18" s="21"/>
      <c r="E18" s="19"/>
      <c r="F18" s="19"/>
      <c r="G18" s="19"/>
      <c r="H18" s="19"/>
      <c r="I18" s="19"/>
      <c r="J18" s="19"/>
    </row>
    <row r="19" spans="1:10" x14ac:dyDescent="0.2">
      <c r="A19" s="19"/>
      <c r="B19" s="20"/>
      <c r="C19" s="21"/>
      <c r="D19" s="21"/>
      <c r="E19" s="19"/>
      <c r="F19" s="19"/>
      <c r="G19" s="19"/>
      <c r="H19" s="19"/>
      <c r="I19" s="19"/>
      <c r="J19" s="19"/>
    </row>
    <row r="20" spans="1:10" x14ac:dyDescent="0.2">
      <c r="A20" s="19"/>
      <c r="B20" s="20"/>
      <c r="C20" s="21"/>
      <c r="D20" s="21"/>
      <c r="E20" s="19"/>
      <c r="F20" s="19"/>
      <c r="G20" s="19"/>
      <c r="H20" s="19"/>
      <c r="I20" s="19"/>
      <c r="J20" s="19"/>
    </row>
    <row r="21" spans="1:10" x14ac:dyDescent="0.2">
      <c r="A21" s="19"/>
      <c r="B21" s="20"/>
      <c r="C21" s="21"/>
      <c r="D21" s="21"/>
      <c r="E21" s="19"/>
      <c r="F21" s="19"/>
      <c r="G21" s="19"/>
      <c r="H21" s="19"/>
      <c r="I21" s="19"/>
      <c r="J21" s="19"/>
    </row>
    <row r="22" spans="1:10" x14ac:dyDescent="0.2">
      <c r="A22" s="19"/>
      <c r="B22" s="20"/>
      <c r="C22" s="21"/>
      <c r="D22" s="21"/>
      <c r="E22" s="19"/>
      <c r="F22" s="19"/>
      <c r="G22" s="19"/>
      <c r="H22" s="19"/>
      <c r="I22" s="19"/>
      <c r="J22" s="19"/>
    </row>
    <row r="23" spans="1:10" x14ac:dyDescent="0.2">
      <c r="A23" s="19"/>
      <c r="B23" s="20"/>
      <c r="C23" s="21"/>
      <c r="D23" s="21"/>
      <c r="E23" s="19"/>
      <c r="F23" s="19"/>
      <c r="G23" s="19"/>
      <c r="H23" s="19"/>
      <c r="I23" s="19"/>
      <c r="J23" s="19"/>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tabSelected="1" workbookViewId="0">
      <selection activeCell="B11" sqref="B11"/>
    </sheetView>
  </sheetViews>
  <sheetFormatPr baseColWidth="10" defaultRowHeight="12.75" x14ac:dyDescent="0.2"/>
  <cols>
    <col min="2" max="2" width="23.28515625" style="39" bestFit="1" customWidth="1"/>
    <col min="4" max="4" width="47.5703125" style="46" customWidth="1"/>
    <col min="5" max="5" width="11.42578125" style="51"/>
    <col min="6" max="6" width="23.5703125" bestFit="1" customWidth="1"/>
    <col min="7" max="7" width="18" style="18" customWidth="1"/>
    <col min="8" max="8" width="59.42578125" customWidth="1"/>
  </cols>
  <sheetData>
    <row r="1" spans="1:8" s="5" customFormat="1" x14ac:dyDescent="0.2">
      <c r="A1" s="33" t="s">
        <v>16</v>
      </c>
      <c r="B1" s="36" t="s">
        <v>15</v>
      </c>
      <c r="C1" s="33" t="s">
        <v>18</v>
      </c>
      <c r="D1" s="43" t="s">
        <v>19</v>
      </c>
      <c r="E1" s="49" t="s">
        <v>93</v>
      </c>
      <c r="F1" s="33" t="s">
        <v>90</v>
      </c>
      <c r="G1" s="34" t="s">
        <v>105</v>
      </c>
      <c r="H1" s="1" t="s">
        <v>372</v>
      </c>
    </row>
    <row r="2" spans="1:8" ht="14.25" x14ac:dyDescent="0.2">
      <c r="A2" s="2" t="s">
        <v>116</v>
      </c>
      <c r="B2" s="37" t="s">
        <v>134</v>
      </c>
      <c r="C2" s="41" t="s">
        <v>159</v>
      </c>
      <c r="D2" s="44" t="s">
        <v>180</v>
      </c>
      <c r="E2" s="52" t="s">
        <v>199</v>
      </c>
      <c r="F2" s="137" t="s">
        <v>370</v>
      </c>
      <c r="G2" s="137" t="s">
        <v>370</v>
      </c>
    </row>
    <row r="3" spans="1:8" x14ac:dyDescent="0.2">
      <c r="A3" s="2" t="s">
        <v>118</v>
      </c>
      <c r="B3" s="37" t="s">
        <v>135</v>
      </c>
      <c r="C3" s="3" t="s">
        <v>160</v>
      </c>
      <c r="D3" s="47" t="s">
        <v>181</v>
      </c>
      <c r="E3" s="52" t="s">
        <v>200</v>
      </c>
      <c r="F3" s="137" t="s">
        <v>370</v>
      </c>
      <c r="G3" s="137" t="s">
        <v>370</v>
      </c>
    </row>
    <row r="4" spans="1:8" x14ac:dyDescent="0.2">
      <c r="A4" s="2" t="s">
        <v>119</v>
      </c>
      <c r="B4" s="37" t="s">
        <v>136</v>
      </c>
      <c r="C4" s="3" t="s">
        <v>161</v>
      </c>
      <c r="D4" s="47" t="s">
        <v>182</v>
      </c>
      <c r="E4" s="52" t="s">
        <v>201</v>
      </c>
      <c r="F4" s="137" t="s">
        <v>370</v>
      </c>
      <c r="G4" s="137" t="s">
        <v>370</v>
      </c>
      <c r="H4" s="5" t="s">
        <v>373</v>
      </c>
    </row>
    <row r="5" spans="1:8" x14ac:dyDescent="0.2">
      <c r="A5" s="2" t="s">
        <v>120</v>
      </c>
      <c r="B5" s="37" t="s">
        <v>117</v>
      </c>
      <c r="C5" s="3" t="s">
        <v>162</v>
      </c>
      <c r="D5" s="47" t="s">
        <v>183</v>
      </c>
      <c r="E5" s="52" t="s">
        <v>202</v>
      </c>
      <c r="F5" s="137" t="s">
        <v>370</v>
      </c>
      <c r="G5" s="137" t="s">
        <v>370</v>
      </c>
    </row>
    <row r="6" spans="1:8" x14ac:dyDescent="0.2">
      <c r="A6" s="2" t="s">
        <v>121</v>
      </c>
      <c r="B6" s="37" t="s">
        <v>137</v>
      </c>
      <c r="C6" s="3" t="s">
        <v>163</v>
      </c>
      <c r="D6" s="47" t="s">
        <v>184</v>
      </c>
      <c r="E6" s="52" t="s">
        <v>203</v>
      </c>
      <c r="F6" s="137" t="s">
        <v>370</v>
      </c>
      <c r="G6" s="137" t="s">
        <v>370</v>
      </c>
      <c r="H6" s="5" t="s">
        <v>79</v>
      </c>
    </row>
    <row r="7" spans="1:8" x14ac:dyDescent="0.2">
      <c r="A7" s="2" t="s">
        <v>122</v>
      </c>
      <c r="B7" s="37" t="s">
        <v>138</v>
      </c>
      <c r="C7" s="3" t="s">
        <v>164</v>
      </c>
      <c r="D7" s="47" t="s">
        <v>185</v>
      </c>
      <c r="E7" s="52" t="s">
        <v>204</v>
      </c>
      <c r="F7" s="137" t="s">
        <v>370</v>
      </c>
      <c r="G7" s="137" t="s">
        <v>370</v>
      </c>
      <c r="H7" s="5" t="s">
        <v>371</v>
      </c>
    </row>
    <row r="8" spans="1:8" x14ac:dyDescent="0.2">
      <c r="A8" s="2" t="s">
        <v>123</v>
      </c>
      <c r="B8" s="37" t="s">
        <v>139</v>
      </c>
      <c r="C8" s="3" t="s">
        <v>165</v>
      </c>
      <c r="D8" s="48" t="s">
        <v>186</v>
      </c>
      <c r="E8" s="50"/>
      <c r="F8" s="137" t="s">
        <v>370</v>
      </c>
      <c r="G8" s="137" t="s">
        <v>370</v>
      </c>
    </row>
    <row r="9" spans="1:8" x14ac:dyDescent="0.2">
      <c r="A9" s="42" t="s">
        <v>124</v>
      </c>
      <c r="B9" s="37" t="s">
        <v>140</v>
      </c>
      <c r="C9" s="3" t="s">
        <v>166</v>
      </c>
      <c r="D9" s="48" t="s">
        <v>187</v>
      </c>
      <c r="E9" s="50"/>
      <c r="F9" s="137" t="s">
        <v>370</v>
      </c>
      <c r="G9" s="137" t="s">
        <v>370</v>
      </c>
    </row>
    <row r="10" spans="1:8" x14ac:dyDescent="0.2">
      <c r="A10" s="2" t="s">
        <v>125</v>
      </c>
      <c r="B10" s="37" t="s">
        <v>141</v>
      </c>
      <c r="C10" s="3" t="s">
        <v>167</v>
      </c>
      <c r="D10" s="45"/>
      <c r="E10" s="50"/>
      <c r="F10" s="137" t="s">
        <v>370</v>
      </c>
      <c r="G10" s="137" t="s">
        <v>370</v>
      </c>
    </row>
    <row r="11" spans="1:8" ht="25.5" x14ac:dyDescent="0.2">
      <c r="A11" s="138" t="s">
        <v>126</v>
      </c>
      <c r="B11" s="40" t="s">
        <v>375</v>
      </c>
      <c r="C11" s="3" t="s">
        <v>168</v>
      </c>
      <c r="D11" s="47" t="s">
        <v>188</v>
      </c>
      <c r="E11" s="52" t="s">
        <v>205</v>
      </c>
      <c r="F11" s="137" t="s">
        <v>370</v>
      </c>
      <c r="G11" s="137" t="s">
        <v>370</v>
      </c>
    </row>
    <row r="12" spans="1:8" x14ac:dyDescent="0.2">
      <c r="A12" s="2" t="s">
        <v>127</v>
      </c>
      <c r="B12" s="40" t="s">
        <v>154</v>
      </c>
      <c r="C12" s="3" t="s">
        <v>169</v>
      </c>
      <c r="D12" s="47" t="s">
        <v>189</v>
      </c>
      <c r="E12" s="52" t="s">
        <v>206</v>
      </c>
      <c r="F12" s="137" t="s">
        <v>370</v>
      </c>
      <c r="G12" s="137" t="s">
        <v>370</v>
      </c>
    </row>
    <row r="13" spans="1:8" x14ac:dyDescent="0.2">
      <c r="A13" s="2" t="s">
        <v>128</v>
      </c>
      <c r="B13" s="40" t="s">
        <v>155</v>
      </c>
      <c r="C13" s="3" t="s">
        <v>170</v>
      </c>
      <c r="D13" s="47" t="s">
        <v>190</v>
      </c>
      <c r="E13" s="52" t="s">
        <v>207</v>
      </c>
      <c r="F13" s="137" t="s">
        <v>370</v>
      </c>
      <c r="G13" s="137" t="s">
        <v>370</v>
      </c>
    </row>
    <row r="14" spans="1:8" x14ac:dyDescent="0.2">
      <c r="A14" s="2" t="s">
        <v>142</v>
      </c>
      <c r="B14" s="40" t="s">
        <v>156</v>
      </c>
      <c r="C14" s="3" t="s">
        <v>171</v>
      </c>
      <c r="D14" s="47" t="s">
        <v>191</v>
      </c>
      <c r="E14" s="52" t="s">
        <v>208</v>
      </c>
      <c r="F14" s="137" t="s">
        <v>370</v>
      </c>
      <c r="G14" s="137" t="s">
        <v>370</v>
      </c>
    </row>
    <row r="15" spans="1:8" x14ac:dyDescent="0.2">
      <c r="A15" s="2" t="s">
        <v>143</v>
      </c>
      <c r="B15" s="40" t="s">
        <v>157</v>
      </c>
      <c r="C15" s="2" t="s">
        <v>374</v>
      </c>
      <c r="D15" s="47" t="s">
        <v>192</v>
      </c>
      <c r="E15" s="52" t="s">
        <v>209</v>
      </c>
      <c r="F15" s="137" t="s">
        <v>370</v>
      </c>
      <c r="G15" s="137" t="s">
        <v>370</v>
      </c>
    </row>
    <row r="16" spans="1:8" x14ac:dyDescent="0.2">
      <c r="A16" s="2" t="s">
        <v>144</v>
      </c>
      <c r="B16" s="37" t="s">
        <v>150</v>
      </c>
      <c r="C16" s="3" t="s">
        <v>172</v>
      </c>
      <c r="D16" s="47" t="s">
        <v>193</v>
      </c>
      <c r="E16" s="52" t="s">
        <v>210</v>
      </c>
      <c r="F16" s="137" t="s">
        <v>370</v>
      </c>
      <c r="G16" s="137" t="s">
        <v>370</v>
      </c>
    </row>
    <row r="17" spans="1:7" x14ac:dyDescent="0.2">
      <c r="A17" s="2" t="s">
        <v>145</v>
      </c>
      <c r="B17" s="37" t="s">
        <v>151</v>
      </c>
      <c r="C17" s="3" t="s">
        <v>173</v>
      </c>
      <c r="D17" s="47" t="s">
        <v>194</v>
      </c>
      <c r="E17" s="52" t="s">
        <v>211</v>
      </c>
      <c r="F17" s="137" t="s">
        <v>370</v>
      </c>
      <c r="G17" s="137" t="s">
        <v>370</v>
      </c>
    </row>
    <row r="18" spans="1:7" x14ac:dyDescent="0.2">
      <c r="A18" s="2" t="s">
        <v>146</v>
      </c>
      <c r="B18" s="38" t="s">
        <v>152</v>
      </c>
      <c r="C18" s="3" t="s">
        <v>174</v>
      </c>
      <c r="D18" s="47" t="s">
        <v>195</v>
      </c>
      <c r="E18" s="52" t="s">
        <v>212</v>
      </c>
      <c r="F18" s="137" t="s">
        <v>370</v>
      </c>
      <c r="G18" s="137" t="s">
        <v>370</v>
      </c>
    </row>
    <row r="19" spans="1:7" x14ac:dyDescent="0.2">
      <c r="A19" s="2" t="s">
        <v>147</v>
      </c>
      <c r="B19" s="41" t="s">
        <v>158</v>
      </c>
      <c r="C19" s="3" t="s">
        <v>175</v>
      </c>
      <c r="D19" s="47" t="s">
        <v>196</v>
      </c>
      <c r="E19" s="52" t="s">
        <v>213</v>
      </c>
      <c r="F19" s="137" t="s">
        <v>370</v>
      </c>
      <c r="G19" s="137" t="s">
        <v>370</v>
      </c>
    </row>
    <row r="20" spans="1:7" x14ac:dyDescent="0.2">
      <c r="A20" s="42" t="s">
        <v>148</v>
      </c>
      <c r="B20" s="37"/>
      <c r="C20" s="3" t="s">
        <v>176</v>
      </c>
      <c r="D20" s="47" t="s">
        <v>197</v>
      </c>
      <c r="E20" s="52" t="s">
        <v>214</v>
      </c>
      <c r="F20" s="137" t="s">
        <v>370</v>
      </c>
      <c r="G20" s="137" t="s">
        <v>370</v>
      </c>
    </row>
    <row r="21" spans="1:7" ht="38.25" x14ac:dyDescent="0.2">
      <c r="A21" s="42" t="s">
        <v>149</v>
      </c>
      <c r="B21" s="40" t="s">
        <v>153</v>
      </c>
      <c r="C21" s="3" t="s">
        <v>177</v>
      </c>
      <c r="D21" s="47" t="s">
        <v>198</v>
      </c>
      <c r="E21" s="52" t="s">
        <v>215</v>
      </c>
      <c r="F21" s="137" t="s">
        <v>370</v>
      </c>
      <c r="G21" s="137" t="s">
        <v>370</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54"/>
  <sheetViews>
    <sheetView zoomScaleNormal="100" workbookViewId="0">
      <selection activeCell="T15" sqref="T15:T16"/>
    </sheetView>
  </sheetViews>
  <sheetFormatPr baseColWidth="10" defaultRowHeight="12.75" x14ac:dyDescent="0.2"/>
  <cols>
    <col min="1" max="1" width="11.42578125" style="53"/>
    <col min="2" max="2" width="24.5703125" style="87" customWidth="1"/>
    <col min="3" max="3" width="23.85546875" style="53" bestFit="1" customWidth="1"/>
    <col min="4" max="4" width="11.140625" style="53" bestFit="1" customWidth="1"/>
    <col min="5" max="5" width="10.140625" style="54" bestFit="1" customWidth="1"/>
    <col min="6" max="6" width="11.42578125" style="53" bestFit="1" customWidth="1"/>
    <col min="7" max="7" width="12.42578125" style="53" bestFit="1" customWidth="1"/>
    <col min="8" max="8" width="6.85546875" style="53" customWidth="1"/>
    <col min="9" max="9" width="5.140625" style="53" bestFit="1" customWidth="1"/>
    <col min="10" max="10" width="25" style="53" customWidth="1"/>
    <col min="11" max="11" width="10.28515625" style="53" bestFit="1" customWidth="1"/>
    <col min="12" max="12" width="10" style="53" bestFit="1" customWidth="1"/>
    <col min="13" max="13" width="3.85546875" style="53" bestFit="1" customWidth="1"/>
    <col min="14" max="14" width="6" style="53" bestFit="1" customWidth="1"/>
    <col min="15" max="15" width="7.42578125" style="53" bestFit="1" customWidth="1"/>
    <col min="16" max="16" width="5.140625" style="53" bestFit="1" customWidth="1"/>
    <col min="17" max="17" width="3.5703125" style="53" bestFit="1" customWidth="1"/>
    <col min="18" max="18" width="23.85546875" style="53" bestFit="1" customWidth="1"/>
    <col min="19" max="19" width="10.7109375" style="54" bestFit="1" customWidth="1"/>
    <col min="20" max="20" width="15.42578125" style="53" bestFit="1" customWidth="1"/>
    <col min="21" max="21" width="20.28515625" style="53" bestFit="1" customWidth="1"/>
    <col min="22" max="16384" width="11.42578125" style="53"/>
  </cols>
  <sheetData>
    <row r="1" spans="1:36" ht="26.25" customHeight="1" thickBot="1" x14ac:dyDescent="0.25">
      <c r="C1" s="162" t="s">
        <v>252</v>
      </c>
      <c r="D1" s="163"/>
      <c r="E1" s="163"/>
      <c r="F1" s="163"/>
      <c r="G1" s="163"/>
      <c r="H1" s="163"/>
      <c r="I1" s="163"/>
      <c r="J1" s="163"/>
      <c r="K1" s="163"/>
      <c r="L1" s="163"/>
      <c r="M1" s="163"/>
      <c r="N1" s="163"/>
      <c r="O1" s="163"/>
      <c r="P1" s="163"/>
      <c r="Q1" s="163"/>
      <c r="R1" s="163"/>
      <c r="S1" s="163"/>
      <c r="T1" s="153" t="s">
        <v>254</v>
      </c>
      <c r="U1" s="154"/>
      <c r="V1" s="154"/>
      <c r="W1" s="154"/>
      <c r="X1" s="154"/>
      <c r="Y1" s="154"/>
      <c r="Z1" s="154"/>
      <c r="AA1" s="154"/>
      <c r="AB1" s="154"/>
      <c r="AC1" s="154"/>
      <c r="AD1" s="154"/>
      <c r="AE1" s="154"/>
      <c r="AF1" s="154"/>
      <c r="AG1" s="154"/>
      <c r="AH1" s="154"/>
      <c r="AI1" s="154"/>
      <c r="AJ1" s="154"/>
    </row>
    <row r="2" spans="1:36" s="55" customFormat="1" ht="13.5" thickBot="1" x14ac:dyDescent="0.25">
      <c r="B2" s="88"/>
      <c r="C2" s="105" t="s">
        <v>90</v>
      </c>
      <c r="D2" s="106" t="s">
        <v>89</v>
      </c>
      <c r="E2" s="107" t="s">
        <v>33</v>
      </c>
      <c r="F2" s="106" t="s">
        <v>31</v>
      </c>
      <c r="G2" s="106" t="s">
        <v>29</v>
      </c>
      <c r="H2" s="106" t="s">
        <v>25</v>
      </c>
      <c r="I2" s="106" t="s">
        <v>26</v>
      </c>
      <c r="J2" s="106" t="s">
        <v>28</v>
      </c>
      <c r="K2" s="106" t="s">
        <v>27</v>
      </c>
      <c r="L2" s="106" t="s">
        <v>250</v>
      </c>
      <c r="M2" s="106" t="s">
        <v>79</v>
      </c>
      <c r="N2" s="106" t="s">
        <v>80</v>
      </c>
      <c r="O2" s="106" t="s">
        <v>81</v>
      </c>
      <c r="P2" s="106" t="s">
        <v>82</v>
      </c>
      <c r="Q2" s="106" t="s">
        <v>83</v>
      </c>
      <c r="R2" s="106" t="s">
        <v>84</v>
      </c>
      <c r="S2" s="107" t="s">
        <v>132</v>
      </c>
      <c r="T2" s="107" t="s">
        <v>316</v>
      </c>
      <c r="U2" s="108" t="s">
        <v>317</v>
      </c>
      <c r="V2" s="108" t="s">
        <v>336</v>
      </c>
      <c r="W2" s="108" t="s">
        <v>337</v>
      </c>
    </row>
    <row r="3" spans="1:36" s="85" customFormat="1" ht="16.5" thickBot="1" x14ac:dyDescent="0.25">
      <c r="A3" s="132"/>
      <c r="B3" s="133"/>
      <c r="C3" s="164" t="s">
        <v>253</v>
      </c>
      <c r="D3" s="165"/>
      <c r="E3" s="165"/>
      <c r="F3" s="165"/>
      <c r="G3" s="165"/>
      <c r="H3" s="165"/>
      <c r="I3" s="165"/>
      <c r="J3" s="165"/>
      <c r="K3" s="165"/>
      <c r="L3" s="165"/>
      <c r="M3" s="165"/>
      <c r="N3" s="165"/>
      <c r="O3" s="165"/>
      <c r="P3" s="165"/>
      <c r="Q3" s="165"/>
      <c r="R3" s="165"/>
      <c r="S3" s="165"/>
      <c r="T3" s="134"/>
      <c r="U3" s="134"/>
      <c r="V3" s="134"/>
      <c r="W3" s="134"/>
    </row>
    <row r="4" spans="1:36" x14ac:dyDescent="0.2">
      <c r="A4" s="90" t="s">
        <v>323</v>
      </c>
      <c r="B4" s="125" t="s">
        <v>325</v>
      </c>
      <c r="C4" s="64" t="s">
        <v>129</v>
      </c>
      <c r="D4" s="64" t="s">
        <v>106</v>
      </c>
      <c r="E4" s="65" t="s">
        <v>228</v>
      </c>
      <c r="F4" s="64" t="s">
        <v>58</v>
      </c>
      <c r="G4" s="64" t="s">
        <v>131</v>
      </c>
      <c r="H4" s="66">
        <v>1</v>
      </c>
      <c r="I4" s="67">
        <v>999</v>
      </c>
      <c r="J4" s="64" t="str">
        <f>"XXX inférieur ou égal à "&amp;W4</f>
        <v>XXX inférieur ou égal à 460</v>
      </c>
      <c r="K4" s="68" t="s">
        <v>251</v>
      </c>
      <c r="L4" s="67">
        <v>2</v>
      </c>
      <c r="M4" s="67">
        <v>0</v>
      </c>
      <c r="N4" s="66">
        <v>1</v>
      </c>
      <c r="O4" s="67">
        <v>0</v>
      </c>
      <c r="P4" s="67">
        <v>0</v>
      </c>
      <c r="Q4" s="67">
        <v>0</v>
      </c>
      <c r="R4" s="67" t="str">
        <f>C4</f>
        <v>AF-1000-CDG-JFK-P00001</v>
      </c>
      <c r="S4" s="57" t="s">
        <v>251</v>
      </c>
      <c r="T4" s="56">
        <v>1500</v>
      </c>
      <c r="U4" s="56">
        <v>1400</v>
      </c>
      <c r="V4" s="56">
        <v>1</v>
      </c>
      <c r="W4" s="130">
        <v>460</v>
      </c>
    </row>
    <row r="5" spans="1:36" x14ac:dyDescent="0.2">
      <c r="A5" s="92" t="s">
        <v>323</v>
      </c>
      <c r="B5" s="104" t="s">
        <v>326</v>
      </c>
      <c r="C5" s="70" t="s">
        <v>216</v>
      </c>
      <c r="D5" s="71" t="s">
        <v>106</v>
      </c>
      <c r="E5" s="72" t="s">
        <v>228</v>
      </c>
      <c r="F5" s="71" t="s">
        <v>58</v>
      </c>
      <c r="G5" s="73" t="s">
        <v>229</v>
      </c>
      <c r="H5" s="74">
        <v>2</v>
      </c>
      <c r="I5" s="71">
        <v>100</v>
      </c>
      <c r="J5" s="73" t="str">
        <f t="shared" ref="J5:J23" si="0">"XXX inférieur ou égal à "&amp;W5</f>
        <v>XXX inférieur ou égal à 396</v>
      </c>
      <c r="K5" s="75" t="s">
        <v>251</v>
      </c>
      <c r="L5" s="71">
        <v>1</v>
      </c>
      <c r="M5" s="71">
        <v>0</v>
      </c>
      <c r="N5" s="74">
        <v>2</v>
      </c>
      <c r="O5" s="71">
        <v>0</v>
      </c>
      <c r="P5" s="71">
        <v>0</v>
      </c>
      <c r="Q5" s="71">
        <v>0</v>
      </c>
      <c r="R5" s="76" t="str">
        <f t="shared" ref="R5:R51" si="1">C5</f>
        <v>AF-1000-CDG-JFK-P00002</v>
      </c>
      <c r="S5" s="55" t="s">
        <v>251</v>
      </c>
      <c r="T5" s="53">
        <v>1530</v>
      </c>
      <c r="U5" s="53">
        <v>1430</v>
      </c>
      <c r="V5" s="53">
        <v>2</v>
      </c>
      <c r="W5" s="131">
        <v>396</v>
      </c>
    </row>
    <row r="6" spans="1:36" ht="25.5" x14ac:dyDescent="0.2">
      <c r="A6" s="92" t="s">
        <v>323</v>
      </c>
      <c r="B6" s="104" t="s">
        <v>329</v>
      </c>
      <c r="C6" s="70" t="s">
        <v>217</v>
      </c>
      <c r="D6" s="71" t="s">
        <v>106</v>
      </c>
      <c r="E6" s="72" t="s">
        <v>228</v>
      </c>
      <c r="F6" s="71" t="s">
        <v>58</v>
      </c>
      <c r="G6" s="73" t="s">
        <v>230</v>
      </c>
      <c r="H6" s="74">
        <v>3</v>
      </c>
      <c r="I6" s="71">
        <v>100</v>
      </c>
      <c r="J6" s="73" t="str">
        <f t="shared" si="0"/>
        <v>XXX inférieur ou égal à 440</v>
      </c>
      <c r="K6" s="75" t="s">
        <v>251</v>
      </c>
      <c r="L6" s="71">
        <v>2</v>
      </c>
      <c r="M6" s="71">
        <v>0</v>
      </c>
      <c r="N6" s="74">
        <v>3</v>
      </c>
      <c r="O6" s="74">
        <v>1</v>
      </c>
      <c r="P6" s="71">
        <v>0</v>
      </c>
      <c r="Q6" s="71">
        <v>0</v>
      </c>
      <c r="R6" s="76" t="str">
        <f t="shared" si="1"/>
        <v>AF-1000-CDG-JFK-P00003</v>
      </c>
      <c r="S6" s="59" t="s">
        <v>248</v>
      </c>
      <c r="T6" s="53">
        <v>1500</v>
      </c>
      <c r="U6" s="53">
        <v>1400</v>
      </c>
      <c r="V6" s="53">
        <v>3</v>
      </c>
      <c r="W6" s="131">
        <v>440</v>
      </c>
    </row>
    <row r="7" spans="1:36" x14ac:dyDescent="0.2">
      <c r="A7" s="92" t="s">
        <v>323</v>
      </c>
      <c r="B7" s="104" t="s">
        <v>327</v>
      </c>
      <c r="C7" s="70" t="s">
        <v>218</v>
      </c>
      <c r="D7" s="71" t="s">
        <v>106</v>
      </c>
      <c r="E7" s="72" t="s">
        <v>228</v>
      </c>
      <c r="F7" s="71" t="s">
        <v>58</v>
      </c>
      <c r="G7" s="73" t="s">
        <v>231</v>
      </c>
      <c r="H7" s="74">
        <v>4</v>
      </c>
      <c r="I7" s="71">
        <v>100</v>
      </c>
      <c r="J7" s="73" t="str">
        <f t="shared" si="0"/>
        <v>XXX inférieur ou égal à 650</v>
      </c>
      <c r="K7" s="75" t="s">
        <v>251</v>
      </c>
      <c r="L7" s="71">
        <v>3</v>
      </c>
      <c r="M7" s="71">
        <v>0</v>
      </c>
      <c r="N7" s="74">
        <v>4</v>
      </c>
      <c r="O7" s="71">
        <v>0</v>
      </c>
      <c r="P7" s="74">
        <v>1</v>
      </c>
      <c r="Q7" s="71">
        <v>0</v>
      </c>
      <c r="R7" s="76" t="str">
        <f t="shared" si="1"/>
        <v>AF-1000-CDG-JFK-P00004</v>
      </c>
      <c r="S7" s="55" t="s">
        <v>251</v>
      </c>
      <c r="T7" s="53">
        <v>1530</v>
      </c>
      <c r="U7" s="53">
        <v>1430</v>
      </c>
      <c r="V7" s="53">
        <v>5</v>
      </c>
      <c r="W7" s="131">
        <v>650</v>
      </c>
    </row>
    <row r="8" spans="1:36" x14ac:dyDescent="0.2">
      <c r="A8" s="92" t="s">
        <v>323</v>
      </c>
      <c r="B8" s="104" t="s">
        <v>328</v>
      </c>
      <c r="C8" s="70" t="s">
        <v>219</v>
      </c>
      <c r="D8" s="71" t="s">
        <v>106</v>
      </c>
      <c r="E8" s="72" t="s">
        <v>228</v>
      </c>
      <c r="F8" s="71" t="s">
        <v>58</v>
      </c>
      <c r="G8" s="73" t="s">
        <v>232</v>
      </c>
      <c r="H8" s="71">
        <v>1</v>
      </c>
      <c r="I8" s="71">
        <v>100</v>
      </c>
      <c r="J8" s="73" t="str">
        <f t="shared" si="0"/>
        <v>XXX inférieur ou égal à 460</v>
      </c>
      <c r="K8" s="75" t="s">
        <v>251</v>
      </c>
      <c r="L8" s="71">
        <v>4</v>
      </c>
      <c r="M8" s="71">
        <v>0</v>
      </c>
      <c r="N8" s="74" t="s">
        <v>251</v>
      </c>
      <c r="O8" s="71">
        <v>0</v>
      </c>
      <c r="P8" s="71">
        <v>0</v>
      </c>
      <c r="Q8" s="74">
        <v>1</v>
      </c>
      <c r="R8" s="76" t="str">
        <f t="shared" si="1"/>
        <v>AF-1000-CDG-JFK-P00005</v>
      </c>
      <c r="S8" s="55" t="s">
        <v>251</v>
      </c>
      <c r="T8" s="53">
        <v>1500</v>
      </c>
      <c r="U8" s="53">
        <v>1400</v>
      </c>
      <c r="V8" s="53">
        <v>1</v>
      </c>
      <c r="W8" s="131">
        <v>460</v>
      </c>
    </row>
    <row r="9" spans="1:36" x14ac:dyDescent="0.2">
      <c r="A9" s="92" t="s">
        <v>323</v>
      </c>
      <c r="B9" s="104" t="s">
        <v>330</v>
      </c>
      <c r="C9" s="70" t="s">
        <v>220</v>
      </c>
      <c r="D9" s="71" t="s">
        <v>106</v>
      </c>
      <c r="E9" s="72" t="s">
        <v>228</v>
      </c>
      <c r="F9" s="71" t="s">
        <v>58</v>
      </c>
      <c r="G9" s="73" t="s">
        <v>233</v>
      </c>
      <c r="H9" s="71">
        <v>2</v>
      </c>
      <c r="I9" s="71">
        <v>100</v>
      </c>
      <c r="J9" s="73" t="str">
        <f t="shared" si="0"/>
        <v>XXX inférieur ou égal à 396</v>
      </c>
      <c r="K9" s="75" t="s">
        <v>251</v>
      </c>
      <c r="L9" s="71">
        <v>1</v>
      </c>
      <c r="M9" s="71">
        <v>0</v>
      </c>
      <c r="N9" s="71">
        <v>1</v>
      </c>
      <c r="O9" s="74">
        <v>1</v>
      </c>
      <c r="P9" s="71">
        <v>0</v>
      </c>
      <c r="Q9" s="71">
        <v>0</v>
      </c>
      <c r="R9" s="76" t="str">
        <f t="shared" si="1"/>
        <v>AF-1000-CDG-JFK-P00006</v>
      </c>
      <c r="S9" s="59" t="s">
        <v>248</v>
      </c>
      <c r="T9" s="53">
        <v>1530</v>
      </c>
      <c r="U9" s="53">
        <v>1430</v>
      </c>
      <c r="V9" s="53">
        <v>2</v>
      </c>
      <c r="W9" s="131">
        <v>396</v>
      </c>
    </row>
    <row r="10" spans="1:36" x14ac:dyDescent="0.2">
      <c r="A10" s="92" t="s">
        <v>323</v>
      </c>
      <c r="B10" s="104" t="s">
        <v>332</v>
      </c>
      <c r="C10" s="70" t="s">
        <v>221</v>
      </c>
      <c r="D10" s="71" t="s">
        <v>106</v>
      </c>
      <c r="E10" s="72" t="s">
        <v>228</v>
      </c>
      <c r="F10" s="71" t="s">
        <v>58</v>
      </c>
      <c r="G10" s="73" t="s">
        <v>234</v>
      </c>
      <c r="H10" s="71">
        <v>3</v>
      </c>
      <c r="I10" s="71">
        <v>100</v>
      </c>
      <c r="J10" s="73" t="str">
        <f t="shared" si="0"/>
        <v>XXX inférieur ou égal à 440</v>
      </c>
      <c r="K10" s="75" t="s">
        <v>251</v>
      </c>
      <c r="L10" s="71">
        <v>2</v>
      </c>
      <c r="M10" s="74">
        <v>1</v>
      </c>
      <c r="N10" s="71">
        <v>2</v>
      </c>
      <c r="O10" s="71">
        <v>0</v>
      </c>
      <c r="P10" s="71">
        <v>0</v>
      </c>
      <c r="Q10" s="71">
        <v>0</v>
      </c>
      <c r="R10" s="76" t="str">
        <f t="shared" si="1"/>
        <v>AF-1000-CDG-JFK-P00007</v>
      </c>
      <c r="S10" s="55" t="s">
        <v>251</v>
      </c>
      <c r="T10" s="53">
        <v>1500</v>
      </c>
      <c r="U10" s="53">
        <v>1400</v>
      </c>
      <c r="V10" s="53">
        <v>3</v>
      </c>
      <c r="W10" s="131">
        <v>440</v>
      </c>
    </row>
    <row r="11" spans="1:36" x14ac:dyDescent="0.2">
      <c r="A11" s="92" t="s">
        <v>323</v>
      </c>
      <c r="B11" s="104" t="s">
        <v>82</v>
      </c>
      <c r="C11" s="70" t="s">
        <v>222</v>
      </c>
      <c r="D11" s="71" t="s">
        <v>106</v>
      </c>
      <c r="E11" s="72" t="s">
        <v>228</v>
      </c>
      <c r="F11" s="71" t="s">
        <v>58</v>
      </c>
      <c r="G11" s="73" t="s">
        <v>235</v>
      </c>
      <c r="H11" s="71">
        <v>4</v>
      </c>
      <c r="I11" s="71">
        <v>100</v>
      </c>
      <c r="J11" s="73" t="str">
        <f t="shared" si="0"/>
        <v>XXX inférieur ou égal à 650</v>
      </c>
      <c r="K11" s="75" t="s">
        <v>251</v>
      </c>
      <c r="L11" s="71">
        <v>3</v>
      </c>
      <c r="M11" s="71">
        <v>0</v>
      </c>
      <c r="N11" s="71">
        <v>3</v>
      </c>
      <c r="O11" s="71">
        <v>0</v>
      </c>
      <c r="P11" s="74">
        <v>1</v>
      </c>
      <c r="Q11" s="71">
        <v>0</v>
      </c>
      <c r="R11" s="76" t="str">
        <f t="shared" si="1"/>
        <v>AF-1000-CDG-JFK-P00008</v>
      </c>
      <c r="S11" s="55" t="s">
        <v>251</v>
      </c>
      <c r="T11" s="53">
        <v>1530</v>
      </c>
      <c r="U11" s="53">
        <v>1430</v>
      </c>
      <c r="V11" s="53">
        <v>5</v>
      </c>
      <c r="W11" s="131">
        <v>650</v>
      </c>
    </row>
    <row r="12" spans="1:36" x14ac:dyDescent="0.2">
      <c r="A12" s="92" t="s">
        <v>323</v>
      </c>
      <c r="B12" s="104" t="s">
        <v>331</v>
      </c>
      <c r="C12" s="70" t="s">
        <v>223</v>
      </c>
      <c r="D12" s="71" t="s">
        <v>106</v>
      </c>
      <c r="E12" s="72" t="s">
        <v>228</v>
      </c>
      <c r="F12" s="71" t="s">
        <v>58</v>
      </c>
      <c r="G12" s="73" t="s">
        <v>236</v>
      </c>
      <c r="H12" s="71">
        <v>1</v>
      </c>
      <c r="I12" s="71">
        <v>100</v>
      </c>
      <c r="J12" s="73" t="str">
        <f t="shared" si="0"/>
        <v>XXX inférieur ou égal à 460</v>
      </c>
      <c r="K12" s="75" t="s">
        <v>251</v>
      </c>
      <c r="L12" s="71">
        <v>4</v>
      </c>
      <c r="M12" s="71">
        <v>0</v>
      </c>
      <c r="N12" s="71">
        <v>4</v>
      </c>
      <c r="O12" s="74">
        <v>1</v>
      </c>
      <c r="P12" s="71">
        <v>0</v>
      </c>
      <c r="Q12" s="71">
        <v>0</v>
      </c>
      <c r="R12" s="76" t="str">
        <f t="shared" si="1"/>
        <v>AF-1000-CDG-JFK-P00009</v>
      </c>
      <c r="S12" s="59" t="s">
        <v>249</v>
      </c>
      <c r="T12" s="53">
        <v>1500</v>
      </c>
      <c r="U12" s="53">
        <v>1400</v>
      </c>
      <c r="V12" s="53">
        <v>1</v>
      </c>
      <c r="W12" s="131">
        <v>460</v>
      </c>
    </row>
    <row r="13" spans="1:36" ht="17.25" x14ac:dyDescent="0.2">
      <c r="A13" s="92" t="s">
        <v>323</v>
      </c>
      <c r="B13" s="104" t="s">
        <v>335</v>
      </c>
      <c r="C13" s="83" t="s">
        <v>333</v>
      </c>
      <c r="D13" s="71" t="s">
        <v>106</v>
      </c>
      <c r="E13" s="72" t="s">
        <v>228</v>
      </c>
      <c r="F13" s="71" t="s">
        <v>58</v>
      </c>
      <c r="G13" s="73" t="s">
        <v>237</v>
      </c>
      <c r="H13" s="71">
        <v>2</v>
      </c>
      <c r="I13" s="71">
        <v>100</v>
      </c>
      <c r="J13" s="73" t="str">
        <f t="shared" si="0"/>
        <v>XXX inférieur ou égal à 240</v>
      </c>
      <c r="K13" s="75" t="s">
        <v>251</v>
      </c>
      <c r="L13" s="71">
        <v>1</v>
      </c>
      <c r="M13" s="71">
        <v>0</v>
      </c>
      <c r="N13" s="71">
        <v>1</v>
      </c>
      <c r="O13" s="71">
        <v>0</v>
      </c>
      <c r="P13" s="71">
        <v>0</v>
      </c>
      <c r="Q13" s="71">
        <v>0</v>
      </c>
      <c r="R13" s="84" t="s">
        <v>333</v>
      </c>
      <c r="S13" s="55" t="s">
        <v>251</v>
      </c>
      <c r="T13" s="53">
        <v>1530</v>
      </c>
      <c r="U13" s="128">
        <v>1331</v>
      </c>
      <c r="V13" s="53">
        <v>4</v>
      </c>
      <c r="W13" s="131">
        <v>240</v>
      </c>
    </row>
    <row r="14" spans="1:36" ht="17.25" x14ac:dyDescent="0.2">
      <c r="A14" s="92" t="s">
        <v>323</v>
      </c>
      <c r="B14" s="104" t="s">
        <v>335</v>
      </c>
      <c r="C14" s="83" t="s">
        <v>334</v>
      </c>
      <c r="D14" s="71" t="s">
        <v>106</v>
      </c>
      <c r="E14" s="72" t="s">
        <v>228</v>
      </c>
      <c r="F14" s="71" t="s">
        <v>58</v>
      </c>
      <c r="G14" s="73" t="s">
        <v>238</v>
      </c>
      <c r="H14" s="71">
        <v>3</v>
      </c>
      <c r="I14" s="71">
        <v>100</v>
      </c>
      <c r="J14" s="73" t="str">
        <f t="shared" si="0"/>
        <v>XXX inférieur ou égal à 6</v>
      </c>
      <c r="K14" s="75" t="s">
        <v>251</v>
      </c>
      <c r="L14" s="71">
        <v>2</v>
      </c>
      <c r="M14" s="71">
        <v>0</v>
      </c>
      <c r="N14" s="71">
        <v>2</v>
      </c>
      <c r="O14" s="71">
        <v>0</v>
      </c>
      <c r="P14" s="71">
        <v>0</v>
      </c>
      <c r="Q14" s="71">
        <v>0</v>
      </c>
      <c r="R14" s="84" t="s">
        <v>334</v>
      </c>
      <c r="S14" s="55" t="s">
        <v>251</v>
      </c>
      <c r="T14" s="53">
        <v>1500</v>
      </c>
      <c r="U14" s="128">
        <v>1429</v>
      </c>
      <c r="V14" s="53">
        <v>6</v>
      </c>
      <c r="W14" s="131">
        <v>6</v>
      </c>
    </row>
    <row r="15" spans="1:36" x14ac:dyDescent="0.2">
      <c r="A15" s="92" t="s">
        <v>323</v>
      </c>
      <c r="B15" s="104" t="s">
        <v>335</v>
      </c>
      <c r="C15" s="83" t="s">
        <v>319</v>
      </c>
      <c r="D15" s="71" t="s">
        <v>106</v>
      </c>
      <c r="E15" s="72" t="s">
        <v>228</v>
      </c>
      <c r="F15" s="71" t="s">
        <v>58</v>
      </c>
      <c r="G15" s="73" t="s">
        <v>239</v>
      </c>
      <c r="H15" s="71">
        <v>4</v>
      </c>
      <c r="I15" s="71">
        <v>100</v>
      </c>
      <c r="J15" s="73" t="str">
        <f t="shared" si="0"/>
        <v>XXX inférieur ou égal à 240</v>
      </c>
      <c r="K15" s="75" t="s">
        <v>251</v>
      </c>
      <c r="L15" s="71">
        <v>3</v>
      </c>
      <c r="M15" s="71">
        <v>0</v>
      </c>
      <c r="N15" s="71">
        <v>3</v>
      </c>
      <c r="O15" s="71">
        <v>0</v>
      </c>
      <c r="P15" s="71">
        <v>0</v>
      </c>
      <c r="Q15" s="71">
        <v>0</v>
      </c>
      <c r="R15" s="84" t="s">
        <v>319</v>
      </c>
      <c r="S15" s="55" t="s">
        <v>251</v>
      </c>
      <c r="T15" s="53">
        <v>1530</v>
      </c>
      <c r="U15" s="53">
        <v>1430</v>
      </c>
      <c r="V15" s="53">
        <v>4</v>
      </c>
      <c r="W15" s="131">
        <v>240</v>
      </c>
    </row>
    <row r="16" spans="1:36" x14ac:dyDescent="0.2">
      <c r="A16" s="92" t="s">
        <v>323</v>
      </c>
      <c r="B16" s="104" t="s">
        <v>335</v>
      </c>
      <c r="C16" s="83" t="s">
        <v>320</v>
      </c>
      <c r="D16" s="71" t="s">
        <v>106</v>
      </c>
      <c r="E16" s="72" t="s">
        <v>228</v>
      </c>
      <c r="F16" s="71" t="s">
        <v>58</v>
      </c>
      <c r="G16" s="73" t="s">
        <v>240</v>
      </c>
      <c r="H16" s="71">
        <v>1</v>
      </c>
      <c r="I16" s="71">
        <v>100</v>
      </c>
      <c r="J16" s="73" t="str">
        <f t="shared" si="0"/>
        <v>XXX inférieur ou égal à 6</v>
      </c>
      <c r="K16" s="75" t="s">
        <v>251</v>
      </c>
      <c r="L16" s="71">
        <v>4</v>
      </c>
      <c r="M16" s="71">
        <v>0</v>
      </c>
      <c r="N16" s="71">
        <v>4</v>
      </c>
      <c r="O16" s="71">
        <v>0</v>
      </c>
      <c r="P16" s="71">
        <v>0</v>
      </c>
      <c r="Q16" s="71">
        <v>0</v>
      </c>
      <c r="R16" s="84" t="s">
        <v>320</v>
      </c>
      <c r="S16" s="55" t="s">
        <v>251</v>
      </c>
      <c r="T16" s="53">
        <v>1500</v>
      </c>
      <c r="U16" s="53">
        <v>1400</v>
      </c>
      <c r="V16" s="53">
        <v>6</v>
      </c>
      <c r="W16" s="131">
        <v>6</v>
      </c>
    </row>
    <row r="17" spans="1:23" ht="12.75" customHeight="1" x14ac:dyDescent="0.2">
      <c r="A17" s="92" t="s">
        <v>323</v>
      </c>
      <c r="B17" s="104" t="s">
        <v>335</v>
      </c>
      <c r="C17" s="83" t="s">
        <v>321</v>
      </c>
      <c r="D17" s="71" t="s">
        <v>106</v>
      </c>
      <c r="E17" s="72" t="s">
        <v>228</v>
      </c>
      <c r="F17" s="71" t="s">
        <v>58</v>
      </c>
      <c r="G17" s="73" t="s">
        <v>241</v>
      </c>
      <c r="H17" s="71">
        <v>2</v>
      </c>
      <c r="I17" s="71">
        <v>100</v>
      </c>
      <c r="J17" s="73" t="str">
        <f t="shared" si="0"/>
        <v>XXX inférieur ou égal à 240</v>
      </c>
      <c r="K17" s="75" t="s">
        <v>251</v>
      </c>
      <c r="L17" s="71">
        <v>1</v>
      </c>
      <c r="M17" s="71">
        <v>0</v>
      </c>
      <c r="N17" s="71">
        <v>1</v>
      </c>
      <c r="O17" s="71">
        <v>0</v>
      </c>
      <c r="P17" s="71">
        <v>0</v>
      </c>
      <c r="Q17" s="71">
        <v>0</v>
      </c>
      <c r="R17" s="84" t="s">
        <v>321</v>
      </c>
      <c r="S17" s="55" t="s">
        <v>251</v>
      </c>
      <c r="T17" s="53">
        <v>1530</v>
      </c>
      <c r="U17" s="53">
        <v>1430</v>
      </c>
      <c r="V17" s="53">
        <v>4</v>
      </c>
      <c r="W17" s="131">
        <v>240</v>
      </c>
    </row>
    <row r="18" spans="1:23" ht="14.25" customHeight="1" x14ac:dyDescent="0.2">
      <c r="A18" s="92" t="s">
        <v>323</v>
      </c>
      <c r="B18" s="104" t="s">
        <v>335</v>
      </c>
      <c r="C18" s="83" t="s">
        <v>322</v>
      </c>
      <c r="D18" s="71" t="s">
        <v>106</v>
      </c>
      <c r="E18" s="72" t="s">
        <v>228</v>
      </c>
      <c r="F18" s="71" t="s">
        <v>58</v>
      </c>
      <c r="G18" s="73" t="s">
        <v>242</v>
      </c>
      <c r="H18" s="71">
        <v>3</v>
      </c>
      <c r="I18" s="71">
        <v>100</v>
      </c>
      <c r="J18" s="73" t="str">
        <f t="shared" si="0"/>
        <v>XXX inférieur ou égal à 6</v>
      </c>
      <c r="K18" s="75" t="s">
        <v>251</v>
      </c>
      <c r="L18" s="71">
        <v>2</v>
      </c>
      <c r="M18" s="71">
        <v>0</v>
      </c>
      <c r="N18" s="71">
        <v>2</v>
      </c>
      <c r="O18" s="71">
        <v>0</v>
      </c>
      <c r="P18" s="71">
        <v>0</v>
      </c>
      <c r="Q18" s="71">
        <v>0</v>
      </c>
      <c r="R18" s="84" t="s">
        <v>322</v>
      </c>
      <c r="S18" s="55" t="s">
        <v>251</v>
      </c>
      <c r="T18" s="53">
        <v>1500</v>
      </c>
      <c r="U18" s="53">
        <v>1400</v>
      </c>
      <c r="V18" s="53">
        <v>6</v>
      </c>
      <c r="W18" s="131">
        <v>6</v>
      </c>
    </row>
    <row r="19" spans="1:23" ht="25.5" customHeight="1" x14ac:dyDescent="0.2">
      <c r="A19" s="92" t="s">
        <v>323</v>
      </c>
      <c r="B19" s="104" t="s">
        <v>357</v>
      </c>
      <c r="C19" s="70" t="s">
        <v>224</v>
      </c>
      <c r="D19" s="71" t="s">
        <v>106</v>
      </c>
      <c r="E19" s="72" t="s">
        <v>228</v>
      </c>
      <c r="F19" s="71" t="s">
        <v>58</v>
      </c>
      <c r="G19" s="73" t="s">
        <v>243</v>
      </c>
      <c r="H19" s="71">
        <v>4</v>
      </c>
      <c r="I19" s="71">
        <v>100</v>
      </c>
      <c r="J19" s="73" t="str">
        <f t="shared" si="0"/>
        <v>XXX inférieur ou égal à 460</v>
      </c>
      <c r="K19" s="103" t="s">
        <v>64</v>
      </c>
      <c r="L19" s="71">
        <v>3</v>
      </c>
      <c r="M19" s="71">
        <v>0</v>
      </c>
      <c r="N19" s="71">
        <v>3</v>
      </c>
      <c r="O19" s="71">
        <v>0</v>
      </c>
      <c r="P19" s="71">
        <v>0</v>
      </c>
      <c r="Q19" s="71">
        <v>0</v>
      </c>
      <c r="R19" s="76" t="str">
        <f t="shared" si="1"/>
        <v>AF-1000-CDG-JFK-P00016</v>
      </c>
      <c r="S19" s="55" t="s">
        <v>251</v>
      </c>
      <c r="T19" s="53">
        <v>1530</v>
      </c>
      <c r="U19" s="53">
        <v>1430</v>
      </c>
      <c r="V19" s="53">
        <v>1</v>
      </c>
      <c r="W19" s="131">
        <v>460</v>
      </c>
    </row>
    <row r="20" spans="1:23" x14ac:dyDescent="0.2">
      <c r="A20" s="92" t="s">
        <v>323</v>
      </c>
      <c r="B20" s="104" t="s">
        <v>358</v>
      </c>
      <c r="C20" s="70" t="s">
        <v>225</v>
      </c>
      <c r="D20" s="71" t="s">
        <v>106</v>
      </c>
      <c r="E20" s="72" t="s">
        <v>228</v>
      </c>
      <c r="F20" s="71" t="s">
        <v>58</v>
      </c>
      <c r="G20" s="73" t="s">
        <v>244</v>
      </c>
      <c r="H20" s="71">
        <v>3</v>
      </c>
      <c r="I20" s="71">
        <v>100</v>
      </c>
      <c r="J20" s="73" t="str">
        <f t="shared" si="0"/>
        <v>XXX inférieur ou égal à 396</v>
      </c>
      <c r="K20" s="103" t="s">
        <v>355</v>
      </c>
      <c r="L20" s="71">
        <v>4</v>
      </c>
      <c r="M20" s="71">
        <v>0</v>
      </c>
      <c r="N20" s="71">
        <v>4</v>
      </c>
      <c r="O20" s="71">
        <v>0</v>
      </c>
      <c r="P20" s="71">
        <v>0</v>
      </c>
      <c r="Q20" s="71">
        <v>0</v>
      </c>
      <c r="R20" s="76" t="str">
        <f t="shared" si="1"/>
        <v>AF-1000-CDG-JFK-P00017</v>
      </c>
      <c r="S20" s="55" t="s">
        <v>251</v>
      </c>
      <c r="T20" s="53">
        <v>1500</v>
      </c>
      <c r="U20" s="53">
        <v>1400</v>
      </c>
      <c r="V20" s="53">
        <v>2</v>
      </c>
      <c r="W20" s="131">
        <v>396</v>
      </c>
    </row>
    <row r="21" spans="1:23" ht="13.5" thickBot="1" x14ac:dyDescent="0.25">
      <c r="A21" s="92" t="s">
        <v>323</v>
      </c>
      <c r="B21" s="104" t="s">
        <v>359</v>
      </c>
      <c r="C21" s="70" t="s">
        <v>226</v>
      </c>
      <c r="D21" s="71" t="s">
        <v>106</v>
      </c>
      <c r="E21" s="72" t="s">
        <v>228</v>
      </c>
      <c r="F21" s="71" t="s">
        <v>58</v>
      </c>
      <c r="G21" s="73" t="s">
        <v>245</v>
      </c>
      <c r="H21" s="71">
        <v>2</v>
      </c>
      <c r="I21" s="71">
        <v>100</v>
      </c>
      <c r="J21" s="73" t="str">
        <f t="shared" si="0"/>
        <v>XXX inférieur ou égal à 440</v>
      </c>
      <c r="K21" s="103" t="s">
        <v>356</v>
      </c>
      <c r="L21" s="71">
        <v>1</v>
      </c>
      <c r="M21" s="71">
        <v>0</v>
      </c>
      <c r="N21" s="71">
        <v>1</v>
      </c>
      <c r="O21" s="71">
        <v>0</v>
      </c>
      <c r="P21" s="71">
        <v>0</v>
      </c>
      <c r="Q21" s="71">
        <v>0</v>
      </c>
      <c r="R21" s="76" t="str">
        <f t="shared" si="1"/>
        <v>AF-1000-CDG-JFK-P00018</v>
      </c>
      <c r="S21" s="55" t="s">
        <v>251</v>
      </c>
      <c r="T21" s="53">
        <v>1530</v>
      </c>
      <c r="U21" s="53">
        <v>1430</v>
      </c>
      <c r="V21" s="53">
        <v>3</v>
      </c>
      <c r="W21" s="131">
        <v>440</v>
      </c>
    </row>
    <row r="22" spans="1:23" ht="12.75" customHeight="1" x14ac:dyDescent="0.2">
      <c r="A22" s="158" t="s">
        <v>360</v>
      </c>
      <c r="B22" s="159"/>
      <c r="C22" s="135" t="s">
        <v>346</v>
      </c>
      <c r="D22" s="67" t="s">
        <v>106</v>
      </c>
      <c r="E22" s="65" t="s">
        <v>228</v>
      </c>
      <c r="F22" s="67" t="s">
        <v>58</v>
      </c>
      <c r="G22" s="64" t="s">
        <v>246</v>
      </c>
      <c r="H22" s="67">
        <v>3</v>
      </c>
      <c r="I22" s="67">
        <v>100</v>
      </c>
      <c r="J22" s="64" t="str">
        <f t="shared" si="0"/>
        <v>XXX inférieur ou égal à 240</v>
      </c>
      <c r="K22" s="68" t="s">
        <v>251</v>
      </c>
      <c r="L22" s="67">
        <v>2</v>
      </c>
      <c r="M22" s="67">
        <v>0</v>
      </c>
      <c r="N22" s="67">
        <v>2</v>
      </c>
      <c r="O22" s="67">
        <v>0</v>
      </c>
      <c r="P22" s="67">
        <v>0</v>
      </c>
      <c r="Q22" s="67">
        <v>0</v>
      </c>
      <c r="R22" s="136" t="s">
        <v>346</v>
      </c>
      <c r="S22" s="57" t="s">
        <v>251</v>
      </c>
      <c r="T22" s="56">
        <v>1500</v>
      </c>
      <c r="U22" s="56">
        <v>1400</v>
      </c>
      <c r="V22" s="56">
        <v>4</v>
      </c>
      <c r="W22" s="58">
        <v>240</v>
      </c>
    </row>
    <row r="23" spans="1:23" ht="13.5" thickBot="1" x14ac:dyDescent="0.25">
      <c r="A23" s="160"/>
      <c r="B23" s="161"/>
      <c r="C23" s="77" t="s">
        <v>227</v>
      </c>
      <c r="D23" s="78" t="s">
        <v>106</v>
      </c>
      <c r="E23" s="79" t="s">
        <v>228</v>
      </c>
      <c r="F23" s="78" t="s">
        <v>58</v>
      </c>
      <c r="G23" s="80" t="s">
        <v>247</v>
      </c>
      <c r="H23" s="78">
        <v>1</v>
      </c>
      <c r="I23" s="78">
        <v>100</v>
      </c>
      <c r="J23" s="80" t="str">
        <f t="shared" si="0"/>
        <v>XXX inférieur ou égal à 650</v>
      </c>
      <c r="K23" s="81" t="s">
        <v>251</v>
      </c>
      <c r="L23" s="78">
        <v>3</v>
      </c>
      <c r="M23" s="78">
        <v>0</v>
      </c>
      <c r="N23" s="78">
        <v>3</v>
      </c>
      <c r="O23" s="78">
        <v>0</v>
      </c>
      <c r="P23" s="78">
        <v>0</v>
      </c>
      <c r="Q23" s="78">
        <v>0</v>
      </c>
      <c r="R23" s="82" t="str">
        <f t="shared" si="1"/>
        <v>AF-1000-CDG-JFK-P00020</v>
      </c>
      <c r="S23" s="62" t="s">
        <v>251</v>
      </c>
      <c r="T23" s="61">
        <v>1530</v>
      </c>
      <c r="U23" s="61">
        <v>1430</v>
      </c>
      <c r="V23" s="61">
        <v>5</v>
      </c>
      <c r="W23" s="63">
        <v>650</v>
      </c>
    </row>
    <row r="24" spans="1:23" s="86" customFormat="1" ht="16.5" thickBot="1" x14ac:dyDescent="0.25">
      <c r="A24" s="109"/>
      <c r="B24" s="89"/>
      <c r="C24" s="155" t="s">
        <v>318</v>
      </c>
      <c r="D24" s="156"/>
      <c r="E24" s="156"/>
      <c r="F24" s="156"/>
      <c r="G24" s="156"/>
      <c r="H24" s="156"/>
      <c r="I24" s="156"/>
      <c r="J24" s="156"/>
      <c r="K24" s="156"/>
      <c r="L24" s="156"/>
      <c r="M24" s="156"/>
      <c r="N24" s="156"/>
      <c r="O24" s="156"/>
      <c r="P24" s="156"/>
      <c r="Q24" s="156"/>
      <c r="R24" s="156"/>
      <c r="S24" s="157"/>
    </row>
    <row r="25" spans="1:23" x14ac:dyDescent="0.2">
      <c r="A25" s="124" t="s">
        <v>324</v>
      </c>
      <c r="B25" s="125" t="s">
        <v>363</v>
      </c>
      <c r="C25" s="91" t="s">
        <v>255</v>
      </c>
      <c r="D25" s="67" t="s">
        <v>106</v>
      </c>
      <c r="E25" s="65" t="s">
        <v>228</v>
      </c>
      <c r="F25" s="67" t="s">
        <v>58</v>
      </c>
      <c r="G25" s="64" t="s">
        <v>283</v>
      </c>
      <c r="H25" s="67">
        <v>1</v>
      </c>
      <c r="I25" s="67">
        <v>100</v>
      </c>
      <c r="J25" s="64" t="s">
        <v>354</v>
      </c>
      <c r="K25" s="68" t="s">
        <v>251</v>
      </c>
      <c r="L25" s="67">
        <v>4</v>
      </c>
      <c r="M25" s="67">
        <v>0</v>
      </c>
      <c r="N25" s="67">
        <v>4</v>
      </c>
      <c r="O25" s="67">
        <v>0</v>
      </c>
      <c r="P25" s="67">
        <v>0</v>
      </c>
      <c r="Q25" s="67">
        <v>0</v>
      </c>
      <c r="R25" s="69" t="str">
        <f t="shared" si="1"/>
        <v>AF-1000-CDG-JFK-P00021</v>
      </c>
      <c r="S25" s="57" t="s">
        <v>251</v>
      </c>
      <c r="T25" s="56">
        <v>1500</v>
      </c>
      <c r="U25" s="126">
        <v>1259</v>
      </c>
      <c r="V25" s="56">
        <v>1</v>
      </c>
      <c r="W25" s="58"/>
    </row>
    <row r="26" spans="1:23" x14ac:dyDescent="0.2">
      <c r="A26" s="127" t="s">
        <v>324</v>
      </c>
      <c r="B26" s="104" t="s">
        <v>364</v>
      </c>
      <c r="C26" s="70" t="s">
        <v>256</v>
      </c>
      <c r="D26" s="71" t="s">
        <v>106</v>
      </c>
      <c r="E26" s="72" t="s">
        <v>228</v>
      </c>
      <c r="F26" s="71" t="s">
        <v>58</v>
      </c>
      <c r="G26" s="73" t="s">
        <v>284</v>
      </c>
      <c r="H26" s="71">
        <v>2</v>
      </c>
      <c r="I26" s="71">
        <v>100</v>
      </c>
      <c r="J26" s="73" t="s">
        <v>354</v>
      </c>
      <c r="K26" s="75" t="s">
        <v>251</v>
      </c>
      <c r="L26" s="71">
        <v>1</v>
      </c>
      <c r="M26" s="71">
        <v>0</v>
      </c>
      <c r="N26" s="71">
        <v>1</v>
      </c>
      <c r="O26" s="71">
        <v>0</v>
      </c>
      <c r="P26" s="71">
        <v>0</v>
      </c>
      <c r="Q26" s="71">
        <v>0</v>
      </c>
      <c r="R26" s="76" t="str">
        <f t="shared" si="1"/>
        <v>AF-1000-CDG-JFK-P00022</v>
      </c>
      <c r="S26" s="55" t="s">
        <v>251</v>
      </c>
      <c r="T26" s="53">
        <v>1530</v>
      </c>
      <c r="U26" s="128">
        <v>1501</v>
      </c>
      <c r="V26" s="53">
        <v>2</v>
      </c>
      <c r="W26" s="60"/>
    </row>
    <row r="27" spans="1:23" x14ac:dyDescent="0.2">
      <c r="A27" s="129" t="s">
        <v>365</v>
      </c>
      <c r="B27" s="104" t="s">
        <v>366</v>
      </c>
      <c r="C27" s="70" t="s">
        <v>257</v>
      </c>
      <c r="D27" s="71" t="s">
        <v>106</v>
      </c>
      <c r="E27" s="72" t="s">
        <v>228</v>
      </c>
      <c r="F27" s="71" t="s">
        <v>58</v>
      </c>
      <c r="G27" s="73" t="s">
        <v>285</v>
      </c>
      <c r="H27" s="71">
        <v>3</v>
      </c>
      <c r="I27" s="71">
        <v>100</v>
      </c>
      <c r="J27" s="73" t="s">
        <v>354</v>
      </c>
      <c r="K27" s="75" t="s">
        <v>251</v>
      </c>
      <c r="L27" s="71">
        <v>2</v>
      </c>
      <c r="M27" s="71">
        <v>0</v>
      </c>
      <c r="N27" s="71">
        <v>2</v>
      </c>
      <c r="O27" s="71">
        <v>0</v>
      </c>
      <c r="P27" s="71">
        <v>0</v>
      </c>
      <c r="Q27" s="71">
        <v>0</v>
      </c>
      <c r="R27" s="76" t="str">
        <f t="shared" si="1"/>
        <v>AF-1000-CDG-JFK-P00023</v>
      </c>
      <c r="S27" s="55" t="s">
        <v>251</v>
      </c>
      <c r="T27" s="53">
        <v>1500</v>
      </c>
      <c r="U27" s="128">
        <v>1300</v>
      </c>
      <c r="V27" s="53">
        <v>3</v>
      </c>
      <c r="W27" s="60"/>
    </row>
    <row r="28" spans="1:23" x14ac:dyDescent="0.2">
      <c r="A28" s="129" t="s">
        <v>365</v>
      </c>
      <c r="B28" s="104" t="s">
        <v>367</v>
      </c>
      <c r="C28" s="70" t="s">
        <v>258</v>
      </c>
      <c r="D28" s="71" t="s">
        <v>106</v>
      </c>
      <c r="E28" s="72" t="s">
        <v>228</v>
      </c>
      <c r="F28" s="71" t="s">
        <v>58</v>
      </c>
      <c r="G28" s="73" t="s">
        <v>286</v>
      </c>
      <c r="H28" s="71">
        <v>4</v>
      </c>
      <c r="I28" s="71">
        <v>100</v>
      </c>
      <c r="J28" s="73" t="s">
        <v>354</v>
      </c>
      <c r="K28" s="75" t="s">
        <v>251</v>
      </c>
      <c r="L28" s="71">
        <v>3</v>
      </c>
      <c r="M28" s="71">
        <v>0</v>
      </c>
      <c r="N28" s="71">
        <v>3</v>
      </c>
      <c r="O28" s="71">
        <v>0</v>
      </c>
      <c r="P28" s="71">
        <v>0</v>
      </c>
      <c r="Q28" s="71">
        <v>0</v>
      </c>
      <c r="R28" s="76" t="str">
        <f t="shared" si="1"/>
        <v>AF-1000-CDG-JFK-P00024</v>
      </c>
      <c r="S28" s="55" t="s">
        <v>251</v>
      </c>
      <c r="T28" s="53">
        <v>1530</v>
      </c>
      <c r="U28" s="128">
        <v>1500</v>
      </c>
      <c r="V28" s="53">
        <v>5</v>
      </c>
      <c r="W28" s="60"/>
    </row>
    <row r="29" spans="1:23" x14ac:dyDescent="0.2">
      <c r="A29" s="127" t="s">
        <v>324</v>
      </c>
      <c r="B29" s="104" t="s">
        <v>368</v>
      </c>
      <c r="C29" s="83" t="s">
        <v>361</v>
      </c>
      <c r="D29" s="71" t="s">
        <v>106</v>
      </c>
      <c r="E29" s="72" t="s">
        <v>228</v>
      </c>
      <c r="F29" s="71" t="s">
        <v>58</v>
      </c>
      <c r="G29" s="73" t="s">
        <v>287</v>
      </c>
      <c r="H29" s="71">
        <v>1</v>
      </c>
      <c r="I29" s="71">
        <v>100</v>
      </c>
      <c r="J29" s="73" t="s">
        <v>354</v>
      </c>
      <c r="K29" s="75" t="s">
        <v>251</v>
      </c>
      <c r="L29" s="71">
        <v>4</v>
      </c>
      <c r="M29" s="71">
        <v>0</v>
      </c>
      <c r="N29" s="71">
        <v>4</v>
      </c>
      <c r="O29" s="71">
        <v>0</v>
      </c>
      <c r="P29" s="71">
        <v>0</v>
      </c>
      <c r="Q29" s="71">
        <v>0</v>
      </c>
      <c r="R29" s="84" t="s">
        <v>361</v>
      </c>
      <c r="S29" s="55" t="s">
        <v>251</v>
      </c>
      <c r="T29" s="53">
        <v>1500</v>
      </c>
      <c r="U29" s="128">
        <v>1259</v>
      </c>
      <c r="V29" s="53">
        <v>4</v>
      </c>
      <c r="W29" s="60"/>
    </row>
    <row r="30" spans="1:23" ht="13.5" thickBot="1" x14ac:dyDescent="0.25">
      <c r="A30" s="127" t="s">
        <v>324</v>
      </c>
      <c r="B30" s="104" t="s">
        <v>369</v>
      </c>
      <c r="C30" s="83" t="s">
        <v>362</v>
      </c>
      <c r="D30" s="71" t="s">
        <v>106</v>
      </c>
      <c r="E30" s="72" t="s">
        <v>228</v>
      </c>
      <c r="F30" s="71" t="s">
        <v>58</v>
      </c>
      <c r="G30" s="73" t="s">
        <v>288</v>
      </c>
      <c r="H30" s="71">
        <v>2</v>
      </c>
      <c r="I30" s="71">
        <v>100</v>
      </c>
      <c r="J30" s="73" t="s">
        <v>354</v>
      </c>
      <c r="K30" s="75" t="s">
        <v>251</v>
      </c>
      <c r="L30" s="71">
        <v>1</v>
      </c>
      <c r="M30" s="71">
        <v>0</v>
      </c>
      <c r="N30" s="71">
        <v>1</v>
      </c>
      <c r="O30" s="71">
        <v>0</v>
      </c>
      <c r="P30" s="71">
        <v>0</v>
      </c>
      <c r="Q30" s="71">
        <v>0</v>
      </c>
      <c r="R30" s="84" t="s">
        <v>362</v>
      </c>
      <c r="S30" s="55" t="s">
        <v>251</v>
      </c>
      <c r="T30" s="53">
        <v>1530</v>
      </c>
      <c r="U30" s="128">
        <v>1501</v>
      </c>
      <c r="V30" s="53">
        <v>6</v>
      </c>
      <c r="W30" s="60"/>
    </row>
    <row r="31" spans="1:23" x14ac:dyDescent="0.2">
      <c r="A31" s="166" t="s">
        <v>360</v>
      </c>
      <c r="B31" s="169"/>
      <c r="C31" s="110" t="s">
        <v>259</v>
      </c>
      <c r="D31" s="111" t="s">
        <v>106</v>
      </c>
      <c r="E31" s="112" t="s">
        <v>228</v>
      </c>
      <c r="F31" s="111" t="s">
        <v>58</v>
      </c>
      <c r="G31" s="113" t="s">
        <v>289</v>
      </c>
      <c r="H31" s="111">
        <v>3</v>
      </c>
      <c r="I31" s="111">
        <v>100</v>
      </c>
      <c r="J31" s="113" t="s">
        <v>354</v>
      </c>
      <c r="K31" s="114" t="s">
        <v>251</v>
      </c>
      <c r="L31" s="111">
        <v>2</v>
      </c>
      <c r="M31" s="111">
        <v>0</v>
      </c>
      <c r="N31" s="111">
        <v>2</v>
      </c>
      <c r="O31" s="111">
        <v>0</v>
      </c>
      <c r="P31" s="111">
        <v>0</v>
      </c>
      <c r="Q31" s="111">
        <v>0</v>
      </c>
      <c r="R31" s="111" t="str">
        <f t="shared" si="1"/>
        <v>AF-1000-CDG-JFK-P00027</v>
      </c>
      <c r="S31" s="114" t="s">
        <v>251</v>
      </c>
      <c r="T31" s="111">
        <v>1500</v>
      </c>
      <c r="U31" s="111">
        <v>1400</v>
      </c>
      <c r="V31" s="111"/>
      <c r="W31" s="115"/>
    </row>
    <row r="32" spans="1:23" x14ac:dyDescent="0.2">
      <c r="A32" s="167"/>
      <c r="B32" s="170"/>
      <c r="C32" s="116" t="s">
        <v>260</v>
      </c>
      <c r="D32" s="172" t="s">
        <v>106</v>
      </c>
      <c r="E32" s="173" t="s">
        <v>228</v>
      </c>
      <c r="F32" s="172" t="s">
        <v>58</v>
      </c>
      <c r="G32" s="174" t="s">
        <v>290</v>
      </c>
      <c r="H32" s="172">
        <v>4</v>
      </c>
      <c r="I32" s="172">
        <v>100</v>
      </c>
      <c r="J32" s="174" t="s">
        <v>354</v>
      </c>
      <c r="K32" s="175" t="s">
        <v>251</v>
      </c>
      <c r="L32" s="172">
        <v>3</v>
      </c>
      <c r="M32" s="172">
        <v>0</v>
      </c>
      <c r="N32" s="172">
        <v>3</v>
      </c>
      <c r="O32" s="172">
        <v>0</v>
      </c>
      <c r="P32" s="172">
        <v>0</v>
      </c>
      <c r="Q32" s="172">
        <v>0</v>
      </c>
      <c r="R32" s="172" t="str">
        <f t="shared" si="1"/>
        <v>AF-1000-CDG-JFK-P00028</v>
      </c>
      <c r="S32" s="175" t="s">
        <v>251</v>
      </c>
      <c r="T32" s="172">
        <v>1530</v>
      </c>
      <c r="U32" s="172">
        <v>1430</v>
      </c>
      <c r="V32" s="172"/>
      <c r="W32" s="117"/>
    </row>
    <row r="33" spans="1:23" x14ac:dyDescent="0.2">
      <c r="A33" s="167"/>
      <c r="B33" s="170"/>
      <c r="C33" s="116" t="s">
        <v>261</v>
      </c>
      <c r="D33" s="172" t="s">
        <v>106</v>
      </c>
      <c r="E33" s="173" t="s">
        <v>228</v>
      </c>
      <c r="F33" s="172" t="s">
        <v>58</v>
      </c>
      <c r="G33" s="174" t="s">
        <v>291</v>
      </c>
      <c r="H33" s="172">
        <v>1</v>
      </c>
      <c r="I33" s="172">
        <v>100</v>
      </c>
      <c r="J33" s="174" t="s">
        <v>354</v>
      </c>
      <c r="K33" s="175" t="s">
        <v>251</v>
      </c>
      <c r="L33" s="172">
        <v>4</v>
      </c>
      <c r="M33" s="172">
        <v>0</v>
      </c>
      <c r="N33" s="172">
        <v>4</v>
      </c>
      <c r="O33" s="172">
        <v>0</v>
      </c>
      <c r="P33" s="172">
        <v>0</v>
      </c>
      <c r="Q33" s="172">
        <v>0</v>
      </c>
      <c r="R33" s="172" t="str">
        <f t="shared" si="1"/>
        <v>AF-1000-CDG-JFK-P00029</v>
      </c>
      <c r="S33" s="175" t="s">
        <v>251</v>
      </c>
      <c r="T33" s="172">
        <v>1500</v>
      </c>
      <c r="U33" s="172">
        <v>1400</v>
      </c>
      <c r="V33" s="172"/>
      <c r="W33" s="117"/>
    </row>
    <row r="34" spans="1:23" ht="12.75" customHeight="1" x14ac:dyDescent="0.2">
      <c r="A34" s="167"/>
      <c r="B34" s="170"/>
      <c r="C34" s="116" t="s">
        <v>262</v>
      </c>
      <c r="D34" s="172" t="s">
        <v>106</v>
      </c>
      <c r="E34" s="173" t="s">
        <v>228</v>
      </c>
      <c r="F34" s="172" t="s">
        <v>58</v>
      </c>
      <c r="G34" s="174" t="s">
        <v>292</v>
      </c>
      <c r="H34" s="172">
        <v>2</v>
      </c>
      <c r="I34" s="172">
        <v>100</v>
      </c>
      <c r="J34" s="174" t="s">
        <v>354</v>
      </c>
      <c r="K34" s="175" t="s">
        <v>251</v>
      </c>
      <c r="L34" s="172">
        <v>1</v>
      </c>
      <c r="M34" s="172">
        <v>0</v>
      </c>
      <c r="N34" s="172">
        <v>1</v>
      </c>
      <c r="O34" s="172">
        <v>0</v>
      </c>
      <c r="P34" s="172">
        <v>0</v>
      </c>
      <c r="Q34" s="172">
        <v>0</v>
      </c>
      <c r="R34" s="172" t="str">
        <f t="shared" si="1"/>
        <v>AF-1000-CDG-JFK-P00030</v>
      </c>
      <c r="S34" s="175" t="s">
        <v>251</v>
      </c>
      <c r="T34" s="172">
        <v>1530</v>
      </c>
      <c r="U34" s="172">
        <v>1430</v>
      </c>
      <c r="V34" s="172"/>
      <c r="W34" s="117"/>
    </row>
    <row r="35" spans="1:23" ht="12.75" customHeight="1" x14ac:dyDescent="0.2">
      <c r="A35" s="167"/>
      <c r="B35" s="170"/>
      <c r="C35" s="116" t="s">
        <v>263</v>
      </c>
      <c r="D35" s="172" t="s">
        <v>106</v>
      </c>
      <c r="E35" s="173" t="s">
        <v>228</v>
      </c>
      <c r="F35" s="172" t="s">
        <v>58</v>
      </c>
      <c r="G35" s="174" t="s">
        <v>293</v>
      </c>
      <c r="H35" s="172">
        <v>3</v>
      </c>
      <c r="I35" s="172">
        <v>100</v>
      </c>
      <c r="J35" s="174" t="s">
        <v>354</v>
      </c>
      <c r="K35" s="175" t="s">
        <v>251</v>
      </c>
      <c r="L35" s="172">
        <v>2</v>
      </c>
      <c r="M35" s="172">
        <v>0</v>
      </c>
      <c r="N35" s="172">
        <v>2</v>
      </c>
      <c r="O35" s="172">
        <v>0</v>
      </c>
      <c r="P35" s="172">
        <v>0</v>
      </c>
      <c r="Q35" s="172">
        <v>0</v>
      </c>
      <c r="R35" s="172" t="str">
        <f t="shared" si="1"/>
        <v>AF-1000-CDG-JFK-P00031</v>
      </c>
      <c r="S35" s="175" t="s">
        <v>251</v>
      </c>
      <c r="T35" s="172">
        <v>1500</v>
      </c>
      <c r="U35" s="172">
        <v>1400</v>
      </c>
      <c r="V35" s="172"/>
      <c r="W35" s="117"/>
    </row>
    <row r="36" spans="1:23" ht="12.75" customHeight="1" x14ac:dyDescent="0.2">
      <c r="A36" s="167"/>
      <c r="B36" s="170"/>
      <c r="C36" s="116" t="s">
        <v>264</v>
      </c>
      <c r="D36" s="172" t="s">
        <v>106</v>
      </c>
      <c r="E36" s="173" t="s">
        <v>228</v>
      </c>
      <c r="F36" s="172" t="s">
        <v>58</v>
      </c>
      <c r="G36" s="174" t="s">
        <v>294</v>
      </c>
      <c r="H36" s="172">
        <v>4</v>
      </c>
      <c r="I36" s="172">
        <v>100</v>
      </c>
      <c r="J36" s="174" t="s">
        <v>354</v>
      </c>
      <c r="K36" s="175" t="s">
        <v>251</v>
      </c>
      <c r="L36" s="172">
        <v>3</v>
      </c>
      <c r="M36" s="172">
        <v>0</v>
      </c>
      <c r="N36" s="172">
        <v>3</v>
      </c>
      <c r="O36" s="172">
        <v>0</v>
      </c>
      <c r="P36" s="172">
        <v>0</v>
      </c>
      <c r="Q36" s="172">
        <v>0</v>
      </c>
      <c r="R36" s="172" t="str">
        <f t="shared" si="1"/>
        <v>AF-1000-CDG-JFK-P00032</v>
      </c>
      <c r="S36" s="175" t="s">
        <v>251</v>
      </c>
      <c r="T36" s="172">
        <v>1530</v>
      </c>
      <c r="U36" s="172">
        <v>1430</v>
      </c>
      <c r="V36" s="172"/>
      <c r="W36" s="117"/>
    </row>
    <row r="37" spans="1:23" ht="12.75" customHeight="1" x14ac:dyDescent="0.2">
      <c r="A37" s="167"/>
      <c r="B37" s="170"/>
      <c r="C37" s="116" t="s">
        <v>265</v>
      </c>
      <c r="D37" s="172" t="s">
        <v>106</v>
      </c>
      <c r="E37" s="173" t="s">
        <v>228</v>
      </c>
      <c r="F37" s="172" t="s">
        <v>58</v>
      </c>
      <c r="G37" s="174" t="s">
        <v>295</v>
      </c>
      <c r="H37" s="172">
        <v>1</v>
      </c>
      <c r="I37" s="172">
        <v>100</v>
      </c>
      <c r="J37" s="174" t="s">
        <v>354</v>
      </c>
      <c r="K37" s="175" t="s">
        <v>251</v>
      </c>
      <c r="L37" s="172">
        <v>4</v>
      </c>
      <c r="M37" s="172">
        <v>0</v>
      </c>
      <c r="N37" s="172">
        <v>4</v>
      </c>
      <c r="O37" s="172">
        <v>0</v>
      </c>
      <c r="P37" s="172">
        <v>0</v>
      </c>
      <c r="Q37" s="172">
        <v>0</v>
      </c>
      <c r="R37" s="172" t="str">
        <f t="shared" si="1"/>
        <v>AF-1000-CDG-JFK-P00033</v>
      </c>
      <c r="S37" s="175" t="s">
        <v>251</v>
      </c>
      <c r="T37" s="172">
        <v>1500</v>
      </c>
      <c r="U37" s="172">
        <v>1400</v>
      </c>
      <c r="V37" s="172"/>
      <c r="W37" s="117"/>
    </row>
    <row r="38" spans="1:23" ht="12.75" customHeight="1" x14ac:dyDescent="0.2">
      <c r="A38" s="167"/>
      <c r="B38" s="170"/>
      <c r="C38" s="116" t="s">
        <v>266</v>
      </c>
      <c r="D38" s="172" t="s">
        <v>106</v>
      </c>
      <c r="E38" s="173" t="s">
        <v>228</v>
      </c>
      <c r="F38" s="172" t="s">
        <v>58</v>
      </c>
      <c r="G38" s="174" t="s">
        <v>296</v>
      </c>
      <c r="H38" s="172">
        <v>2</v>
      </c>
      <c r="I38" s="172">
        <v>100</v>
      </c>
      <c r="J38" s="174" t="s">
        <v>354</v>
      </c>
      <c r="K38" s="175" t="s">
        <v>251</v>
      </c>
      <c r="L38" s="172">
        <v>1</v>
      </c>
      <c r="M38" s="172">
        <v>0</v>
      </c>
      <c r="N38" s="172">
        <v>1</v>
      </c>
      <c r="O38" s="172">
        <v>0</v>
      </c>
      <c r="P38" s="172">
        <v>0</v>
      </c>
      <c r="Q38" s="172">
        <v>0</v>
      </c>
      <c r="R38" s="172" t="str">
        <f t="shared" si="1"/>
        <v>AF-1000-CDG-JFK-P00034</v>
      </c>
      <c r="S38" s="175" t="s">
        <v>251</v>
      </c>
      <c r="T38" s="172">
        <v>1530</v>
      </c>
      <c r="U38" s="172">
        <v>1430</v>
      </c>
      <c r="V38" s="172"/>
      <c r="W38" s="117"/>
    </row>
    <row r="39" spans="1:23" ht="12.75" customHeight="1" x14ac:dyDescent="0.2">
      <c r="A39" s="167"/>
      <c r="B39" s="170"/>
      <c r="C39" s="116" t="s">
        <v>267</v>
      </c>
      <c r="D39" s="172" t="s">
        <v>106</v>
      </c>
      <c r="E39" s="173" t="s">
        <v>228</v>
      </c>
      <c r="F39" s="172" t="s">
        <v>58</v>
      </c>
      <c r="G39" s="174" t="s">
        <v>297</v>
      </c>
      <c r="H39" s="172">
        <v>3</v>
      </c>
      <c r="I39" s="172">
        <v>100</v>
      </c>
      <c r="J39" s="174" t="s">
        <v>354</v>
      </c>
      <c r="K39" s="175" t="s">
        <v>251</v>
      </c>
      <c r="L39" s="172">
        <v>2</v>
      </c>
      <c r="M39" s="172">
        <v>0</v>
      </c>
      <c r="N39" s="172">
        <v>2</v>
      </c>
      <c r="O39" s="172">
        <v>0</v>
      </c>
      <c r="P39" s="172">
        <v>0</v>
      </c>
      <c r="Q39" s="172">
        <v>0</v>
      </c>
      <c r="R39" s="172" t="str">
        <f t="shared" si="1"/>
        <v>AF-1000-CDG-JFK-P00035</v>
      </c>
      <c r="S39" s="175" t="s">
        <v>251</v>
      </c>
      <c r="T39" s="172">
        <v>1500</v>
      </c>
      <c r="U39" s="172">
        <v>1400</v>
      </c>
      <c r="V39" s="172"/>
      <c r="W39" s="117"/>
    </row>
    <row r="40" spans="1:23" ht="12.75" customHeight="1" x14ac:dyDescent="0.2">
      <c r="A40" s="167"/>
      <c r="B40" s="170"/>
      <c r="C40" s="116" t="s">
        <v>268</v>
      </c>
      <c r="D40" s="172" t="s">
        <v>106</v>
      </c>
      <c r="E40" s="173" t="s">
        <v>228</v>
      </c>
      <c r="F40" s="172" t="s">
        <v>58</v>
      </c>
      <c r="G40" s="174" t="s">
        <v>298</v>
      </c>
      <c r="H40" s="172">
        <v>4</v>
      </c>
      <c r="I40" s="172">
        <v>100</v>
      </c>
      <c r="J40" s="174" t="s">
        <v>354</v>
      </c>
      <c r="K40" s="175" t="s">
        <v>251</v>
      </c>
      <c r="L40" s="172">
        <v>3</v>
      </c>
      <c r="M40" s="172">
        <v>0</v>
      </c>
      <c r="N40" s="172">
        <v>3</v>
      </c>
      <c r="O40" s="172">
        <v>0</v>
      </c>
      <c r="P40" s="172">
        <v>0</v>
      </c>
      <c r="Q40" s="172">
        <v>0</v>
      </c>
      <c r="R40" s="172" t="str">
        <f t="shared" si="1"/>
        <v>AF-1000-CDG-JFK-P00036</v>
      </c>
      <c r="S40" s="175" t="s">
        <v>251</v>
      </c>
      <c r="T40" s="172">
        <v>1530</v>
      </c>
      <c r="U40" s="172">
        <v>1430</v>
      </c>
      <c r="V40" s="172"/>
      <c r="W40" s="117"/>
    </row>
    <row r="41" spans="1:23" ht="12.75" customHeight="1" x14ac:dyDescent="0.2">
      <c r="A41" s="167"/>
      <c r="B41" s="170"/>
      <c r="C41" s="116" t="s">
        <v>269</v>
      </c>
      <c r="D41" s="172" t="s">
        <v>106</v>
      </c>
      <c r="E41" s="173" t="s">
        <v>228</v>
      </c>
      <c r="F41" s="172" t="s">
        <v>58</v>
      </c>
      <c r="G41" s="174" t="s">
        <v>299</v>
      </c>
      <c r="H41" s="172">
        <v>1</v>
      </c>
      <c r="I41" s="172">
        <v>100</v>
      </c>
      <c r="J41" s="174" t="s">
        <v>354</v>
      </c>
      <c r="K41" s="175" t="s">
        <v>251</v>
      </c>
      <c r="L41" s="172">
        <v>4</v>
      </c>
      <c r="M41" s="172">
        <v>0</v>
      </c>
      <c r="N41" s="172">
        <v>4</v>
      </c>
      <c r="O41" s="172">
        <v>0</v>
      </c>
      <c r="P41" s="172">
        <v>0</v>
      </c>
      <c r="Q41" s="172">
        <v>0</v>
      </c>
      <c r="R41" s="172" t="str">
        <f t="shared" si="1"/>
        <v>AF-1000-CDG-JFK-P00037</v>
      </c>
      <c r="S41" s="175" t="s">
        <v>251</v>
      </c>
      <c r="T41" s="172">
        <v>1500</v>
      </c>
      <c r="U41" s="172">
        <v>1400</v>
      </c>
      <c r="V41" s="172"/>
      <c r="W41" s="117"/>
    </row>
    <row r="42" spans="1:23" ht="12.75" customHeight="1" x14ac:dyDescent="0.2">
      <c r="A42" s="167"/>
      <c r="B42" s="170"/>
      <c r="C42" s="116" t="s">
        <v>270</v>
      </c>
      <c r="D42" s="172" t="s">
        <v>106</v>
      </c>
      <c r="E42" s="173" t="s">
        <v>228</v>
      </c>
      <c r="F42" s="172" t="s">
        <v>58</v>
      </c>
      <c r="G42" s="174" t="s">
        <v>300</v>
      </c>
      <c r="H42" s="172">
        <v>2</v>
      </c>
      <c r="I42" s="172">
        <v>100</v>
      </c>
      <c r="J42" s="174" t="s">
        <v>354</v>
      </c>
      <c r="K42" s="175" t="s">
        <v>251</v>
      </c>
      <c r="L42" s="172">
        <v>1</v>
      </c>
      <c r="M42" s="172">
        <v>0</v>
      </c>
      <c r="N42" s="172">
        <v>1</v>
      </c>
      <c r="O42" s="172">
        <v>0</v>
      </c>
      <c r="P42" s="172">
        <v>0</v>
      </c>
      <c r="Q42" s="172">
        <v>0</v>
      </c>
      <c r="R42" s="172" t="str">
        <f t="shared" si="1"/>
        <v>AF-1000-CDG-JFK-P00038</v>
      </c>
      <c r="S42" s="175" t="s">
        <v>251</v>
      </c>
      <c r="T42" s="172">
        <v>1530</v>
      </c>
      <c r="U42" s="172">
        <v>1430</v>
      </c>
      <c r="V42" s="172"/>
      <c r="W42" s="117"/>
    </row>
    <row r="43" spans="1:23" ht="12.75" customHeight="1" x14ac:dyDescent="0.2">
      <c r="A43" s="167"/>
      <c r="B43" s="170"/>
      <c r="C43" s="116" t="s">
        <v>271</v>
      </c>
      <c r="D43" s="172" t="s">
        <v>106</v>
      </c>
      <c r="E43" s="173" t="s">
        <v>228</v>
      </c>
      <c r="F43" s="172" t="s">
        <v>58</v>
      </c>
      <c r="G43" s="174" t="s">
        <v>301</v>
      </c>
      <c r="H43" s="172">
        <v>3</v>
      </c>
      <c r="I43" s="172">
        <v>100</v>
      </c>
      <c r="J43" s="174" t="s">
        <v>354</v>
      </c>
      <c r="K43" s="175" t="s">
        <v>251</v>
      </c>
      <c r="L43" s="172">
        <v>2</v>
      </c>
      <c r="M43" s="172">
        <v>0</v>
      </c>
      <c r="N43" s="172">
        <v>2</v>
      </c>
      <c r="O43" s="172">
        <v>0</v>
      </c>
      <c r="P43" s="172">
        <v>0</v>
      </c>
      <c r="Q43" s="172">
        <v>0</v>
      </c>
      <c r="R43" s="172" t="str">
        <f t="shared" si="1"/>
        <v>AF-1000-CDG-JFK-P00039</v>
      </c>
      <c r="S43" s="175" t="s">
        <v>251</v>
      </c>
      <c r="T43" s="172">
        <v>1500</v>
      </c>
      <c r="U43" s="172">
        <v>1400</v>
      </c>
      <c r="V43" s="172"/>
      <c r="W43" s="117"/>
    </row>
    <row r="44" spans="1:23" ht="12.75" customHeight="1" x14ac:dyDescent="0.2">
      <c r="A44" s="167"/>
      <c r="B44" s="170"/>
      <c r="C44" s="116" t="s">
        <v>272</v>
      </c>
      <c r="D44" s="172" t="s">
        <v>106</v>
      </c>
      <c r="E44" s="173" t="s">
        <v>228</v>
      </c>
      <c r="F44" s="172" t="s">
        <v>58</v>
      </c>
      <c r="G44" s="174" t="s">
        <v>302</v>
      </c>
      <c r="H44" s="172">
        <v>4</v>
      </c>
      <c r="I44" s="172">
        <v>100</v>
      </c>
      <c r="J44" s="174" t="s">
        <v>354</v>
      </c>
      <c r="K44" s="175" t="s">
        <v>251</v>
      </c>
      <c r="L44" s="172">
        <v>3</v>
      </c>
      <c r="M44" s="172">
        <v>0</v>
      </c>
      <c r="N44" s="172">
        <v>3</v>
      </c>
      <c r="O44" s="172">
        <v>0</v>
      </c>
      <c r="P44" s="172">
        <v>0</v>
      </c>
      <c r="Q44" s="172">
        <v>0</v>
      </c>
      <c r="R44" s="172" t="str">
        <f t="shared" si="1"/>
        <v>AF-1000-CDG-JFK-P00040</v>
      </c>
      <c r="S44" s="175" t="s">
        <v>251</v>
      </c>
      <c r="T44" s="172">
        <v>1530</v>
      </c>
      <c r="U44" s="172">
        <v>1430</v>
      </c>
      <c r="V44" s="172"/>
      <c r="W44" s="117"/>
    </row>
    <row r="45" spans="1:23" ht="12.75" customHeight="1" x14ac:dyDescent="0.2">
      <c r="A45" s="167"/>
      <c r="B45" s="170"/>
      <c r="C45" s="116" t="s">
        <v>273</v>
      </c>
      <c r="D45" s="172" t="s">
        <v>106</v>
      </c>
      <c r="E45" s="173" t="s">
        <v>228</v>
      </c>
      <c r="F45" s="172" t="s">
        <v>58</v>
      </c>
      <c r="G45" s="174" t="s">
        <v>303</v>
      </c>
      <c r="H45" s="172">
        <v>1</v>
      </c>
      <c r="I45" s="172">
        <v>100</v>
      </c>
      <c r="J45" s="174" t="s">
        <v>354</v>
      </c>
      <c r="K45" s="175" t="s">
        <v>251</v>
      </c>
      <c r="L45" s="172">
        <v>4</v>
      </c>
      <c r="M45" s="172">
        <v>0</v>
      </c>
      <c r="N45" s="172">
        <v>4</v>
      </c>
      <c r="O45" s="172">
        <v>0</v>
      </c>
      <c r="P45" s="172">
        <v>0</v>
      </c>
      <c r="Q45" s="172">
        <v>0</v>
      </c>
      <c r="R45" s="172" t="str">
        <f t="shared" si="1"/>
        <v>AF-1000-CDG-JFK-P00041</v>
      </c>
      <c r="S45" s="175" t="s">
        <v>251</v>
      </c>
      <c r="T45" s="172">
        <v>1500</v>
      </c>
      <c r="U45" s="172">
        <v>1400</v>
      </c>
      <c r="V45" s="172"/>
      <c r="W45" s="117"/>
    </row>
    <row r="46" spans="1:23" ht="12.75" customHeight="1" x14ac:dyDescent="0.2">
      <c r="A46" s="167"/>
      <c r="B46" s="170"/>
      <c r="C46" s="116" t="s">
        <v>274</v>
      </c>
      <c r="D46" s="172" t="s">
        <v>106</v>
      </c>
      <c r="E46" s="173" t="s">
        <v>228</v>
      </c>
      <c r="F46" s="172" t="s">
        <v>58</v>
      </c>
      <c r="G46" s="174" t="s">
        <v>304</v>
      </c>
      <c r="H46" s="172">
        <v>2</v>
      </c>
      <c r="I46" s="172">
        <v>100</v>
      </c>
      <c r="J46" s="174" t="s">
        <v>354</v>
      </c>
      <c r="K46" s="175" t="s">
        <v>251</v>
      </c>
      <c r="L46" s="172">
        <v>1</v>
      </c>
      <c r="M46" s="172">
        <v>0</v>
      </c>
      <c r="N46" s="172">
        <v>1</v>
      </c>
      <c r="O46" s="172">
        <v>0</v>
      </c>
      <c r="P46" s="172">
        <v>0</v>
      </c>
      <c r="Q46" s="172">
        <v>0</v>
      </c>
      <c r="R46" s="172" t="str">
        <f t="shared" si="1"/>
        <v>AF-1000-CDG-JFK-P00042</v>
      </c>
      <c r="S46" s="175" t="s">
        <v>251</v>
      </c>
      <c r="T46" s="172">
        <v>1530</v>
      </c>
      <c r="U46" s="172">
        <v>1430</v>
      </c>
      <c r="V46" s="172"/>
      <c r="W46" s="117"/>
    </row>
    <row r="47" spans="1:23" ht="12.75" customHeight="1" x14ac:dyDescent="0.2">
      <c r="A47" s="167"/>
      <c r="B47" s="170"/>
      <c r="C47" s="116" t="s">
        <v>275</v>
      </c>
      <c r="D47" s="172" t="s">
        <v>106</v>
      </c>
      <c r="E47" s="173" t="s">
        <v>228</v>
      </c>
      <c r="F47" s="172" t="s">
        <v>58</v>
      </c>
      <c r="G47" s="174" t="s">
        <v>305</v>
      </c>
      <c r="H47" s="172">
        <v>3</v>
      </c>
      <c r="I47" s="172">
        <v>100</v>
      </c>
      <c r="J47" s="174" t="s">
        <v>354</v>
      </c>
      <c r="K47" s="175" t="s">
        <v>251</v>
      </c>
      <c r="L47" s="172">
        <v>2</v>
      </c>
      <c r="M47" s="172">
        <v>0</v>
      </c>
      <c r="N47" s="172">
        <v>2</v>
      </c>
      <c r="O47" s="172">
        <v>0</v>
      </c>
      <c r="P47" s="172">
        <v>0</v>
      </c>
      <c r="Q47" s="172">
        <v>0</v>
      </c>
      <c r="R47" s="172" t="str">
        <f t="shared" si="1"/>
        <v>AF-1000-CDG-JFK-P00043</v>
      </c>
      <c r="S47" s="175" t="s">
        <v>251</v>
      </c>
      <c r="T47" s="172">
        <v>1500</v>
      </c>
      <c r="U47" s="172">
        <v>1400</v>
      </c>
      <c r="V47" s="172"/>
      <c r="W47" s="117"/>
    </row>
    <row r="48" spans="1:23" ht="12.75" customHeight="1" x14ac:dyDescent="0.2">
      <c r="A48" s="167"/>
      <c r="B48" s="170"/>
      <c r="C48" s="116" t="s">
        <v>276</v>
      </c>
      <c r="D48" s="172" t="s">
        <v>106</v>
      </c>
      <c r="E48" s="173" t="s">
        <v>228</v>
      </c>
      <c r="F48" s="172" t="s">
        <v>58</v>
      </c>
      <c r="G48" s="174" t="s">
        <v>306</v>
      </c>
      <c r="H48" s="172">
        <v>4</v>
      </c>
      <c r="I48" s="172">
        <v>100</v>
      </c>
      <c r="J48" s="174" t="s">
        <v>354</v>
      </c>
      <c r="K48" s="175" t="s">
        <v>251</v>
      </c>
      <c r="L48" s="172">
        <v>3</v>
      </c>
      <c r="M48" s="172">
        <v>0</v>
      </c>
      <c r="N48" s="172">
        <v>3</v>
      </c>
      <c r="O48" s="172">
        <v>0</v>
      </c>
      <c r="P48" s="172">
        <v>0</v>
      </c>
      <c r="Q48" s="172">
        <v>0</v>
      </c>
      <c r="R48" s="172" t="str">
        <f t="shared" si="1"/>
        <v>AF-1000-CDG-JFK-P00044</v>
      </c>
      <c r="S48" s="175" t="s">
        <v>251</v>
      </c>
      <c r="T48" s="172">
        <v>1530</v>
      </c>
      <c r="U48" s="172">
        <v>1430</v>
      </c>
      <c r="V48" s="172"/>
      <c r="W48" s="117"/>
    </row>
    <row r="49" spans="1:23" ht="12.75" customHeight="1" x14ac:dyDescent="0.2">
      <c r="A49" s="167"/>
      <c r="B49" s="170"/>
      <c r="C49" s="116" t="s">
        <v>277</v>
      </c>
      <c r="D49" s="172" t="s">
        <v>106</v>
      </c>
      <c r="E49" s="173" t="s">
        <v>228</v>
      </c>
      <c r="F49" s="172" t="s">
        <v>58</v>
      </c>
      <c r="G49" s="174" t="s">
        <v>307</v>
      </c>
      <c r="H49" s="172">
        <v>1</v>
      </c>
      <c r="I49" s="172">
        <v>100</v>
      </c>
      <c r="J49" s="174" t="s">
        <v>354</v>
      </c>
      <c r="K49" s="175" t="s">
        <v>251</v>
      </c>
      <c r="L49" s="172">
        <v>4</v>
      </c>
      <c r="M49" s="172">
        <v>0</v>
      </c>
      <c r="N49" s="172">
        <v>4</v>
      </c>
      <c r="O49" s="172">
        <v>0</v>
      </c>
      <c r="P49" s="172">
        <v>0</v>
      </c>
      <c r="Q49" s="172">
        <v>0</v>
      </c>
      <c r="R49" s="172" t="str">
        <f t="shared" si="1"/>
        <v>AF-1000-CDG-JFK-P00045</v>
      </c>
      <c r="S49" s="175" t="s">
        <v>251</v>
      </c>
      <c r="T49" s="172">
        <v>1500</v>
      </c>
      <c r="U49" s="172">
        <v>1400</v>
      </c>
      <c r="V49" s="172"/>
      <c r="W49" s="117"/>
    </row>
    <row r="50" spans="1:23" ht="12.75" customHeight="1" x14ac:dyDescent="0.2">
      <c r="A50" s="167"/>
      <c r="B50" s="170"/>
      <c r="C50" s="116" t="s">
        <v>278</v>
      </c>
      <c r="D50" s="172" t="s">
        <v>106</v>
      </c>
      <c r="E50" s="173" t="s">
        <v>228</v>
      </c>
      <c r="F50" s="172" t="s">
        <v>58</v>
      </c>
      <c r="G50" s="174" t="s">
        <v>308</v>
      </c>
      <c r="H50" s="172">
        <v>2</v>
      </c>
      <c r="I50" s="172">
        <v>100</v>
      </c>
      <c r="J50" s="174" t="s">
        <v>354</v>
      </c>
      <c r="K50" s="175" t="s">
        <v>251</v>
      </c>
      <c r="L50" s="172">
        <v>1</v>
      </c>
      <c r="M50" s="172">
        <v>0</v>
      </c>
      <c r="N50" s="172">
        <v>1</v>
      </c>
      <c r="O50" s="172">
        <v>0</v>
      </c>
      <c r="P50" s="172">
        <v>0</v>
      </c>
      <c r="Q50" s="172">
        <v>0</v>
      </c>
      <c r="R50" s="172" t="str">
        <f t="shared" si="1"/>
        <v>AF-1000-CDG-JFK-P00046</v>
      </c>
      <c r="S50" s="175" t="s">
        <v>251</v>
      </c>
      <c r="T50" s="172">
        <v>1530</v>
      </c>
      <c r="U50" s="172">
        <v>1430</v>
      </c>
      <c r="V50" s="172"/>
      <c r="W50" s="117"/>
    </row>
    <row r="51" spans="1:23" ht="12.75" customHeight="1" x14ac:dyDescent="0.2">
      <c r="A51" s="167"/>
      <c r="B51" s="170"/>
      <c r="C51" s="116" t="s">
        <v>279</v>
      </c>
      <c r="D51" s="172" t="s">
        <v>106</v>
      </c>
      <c r="E51" s="173" t="s">
        <v>228</v>
      </c>
      <c r="F51" s="172" t="s">
        <v>58</v>
      </c>
      <c r="G51" s="174" t="s">
        <v>309</v>
      </c>
      <c r="H51" s="172">
        <v>3</v>
      </c>
      <c r="I51" s="172">
        <v>100</v>
      </c>
      <c r="J51" s="174" t="s">
        <v>354</v>
      </c>
      <c r="K51" s="175" t="s">
        <v>251</v>
      </c>
      <c r="L51" s="172">
        <v>2</v>
      </c>
      <c r="M51" s="172">
        <v>0</v>
      </c>
      <c r="N51" s="172">
        <v>2</v>
      </c>
      <c r="O51" s="172">
        <v>0</v>
      </c>
      <c r="P51" s="172">
        <v>0</v>
      </c>
      <c r="Q51" s="172">
        <v>0</v>
      </c>
      <c r="R51" s="172" t="str">
        <f t="shared" si="1"/>
        <v>AF-1000-CDG-JFK-P00047</v>
      </c>
      <c r="S51" s="175" t="s">
        <v>251</v>
      </c>
      <c r="T51" s="172">
        <v>1500</v>
      </c>
      <c r="U51" s="172">
        <v>1400</v>
      </c>
      <c r="V51" s="172"/>
      <c r="W51" s="117"/>
    </row>
    <row r="52" spans="1:23" ht="12.75" customHeight="1" x14ac:dyDescent="0.2">
      <c r="A52" s="167"/>
      <c r="B52" s="170"/>
      <c r="C52" s="116" t="s">
        <v>310</v>
      </c>
      <c r="D52" s="172" t="s">
        <v>280</v>
      </c>
      <c r="E52" s="173" t="s">
        <v>228</v>
      </c>
      <c r="F52" s="172" t="s">
        <v>58</v>
      </c>
      <c r="G52" s="174" t="s">
        <v>311</v>
      </c>
      <c r="H52" s="172">
        <v>4</v>
      </c>
      <c r="I52" s="172">
        <v>100</v>
      </c>
      <c r="J52" s="174" t="s">
        <v>354</v>
      </c>
      <c r="K52" s="175" t="s">
        <v>251</v>
      </c>
      <c r="L52" s="172">
        <v>3</v>
      </c>
      <c r="M52" s="172">
        <v>0</v>
      </c>
      <c r="N52" s="172">
        <v>3</v>
      </c>
      <c r="O52" s="172">
        <v>0</v>
      </c>
      <c r="P52" s="172">
        <v>0</v>
      </c>
      <c r="Q52" s="172">
        <v>0</v>
      </c>
      <c r="R52" s="172" t="str">
        <f t="shared" ref="R52:R54" si="2">C52</f>
        <v>AF-1000-CDG-JFK-P00048</v>
      </c>
      <c r="S52" s="175" t="s">
        <v>251</v>
      </c>
      <c r="T52" s="172">
        <v>1530</v>
      </c>
      <c r="U52" s="172">
        <v>1430</v>
      </c>
      <c r="V52" s="172"/>
      <c r="W52" s="117"/>
    </row>
    <row r="53" spans="1:23" ht="12.75" customHeight="1" x14ac:dyDescent="0.2">
      <c r="A53" s="167"/>
      <c r="B53" s="170"/>
      <c r="C53" s="116" t="s">
        <v>312</v>
      </c>
      <c r="D53" s="172" t="s">
        <v>281</v>
      </c>
      <c r="E53" s="173" t="s">
        <v>228</v>
      </c>
      <c r="F53" s="172" t="s">
        <v>58</v>
      </c>
      <c r="G53" s="174" t="s">
        <v>313</v>
      </c>
      <c r="H53" s="172">
        <v>1</v>
      </c>
      <c r="I53" s="172">
        <v>100</v>
      </c>
      <c r="J53" s="174" t="s">
        <v>354</v>
      </c>
      <c r="K53" s="175" t="s">
        <v>251</v>
      </c>
      <c r="L53" s="172">
        <v>4</v>
      </c>
      <c r="M53" s="172">
        <v>0</v>
      </c>
      <c r="N53" s="172">
        <v>4</v>
      </c>
      <c r="O53" s="172">
        <v>0</v>
      </c>
      <c r="P53" s="172">
        <v>0</v>
      </c>
      <c r="Q53" s="172">
        <v>0</v>
      </c>
      <c r="R53" s="172" t="str">
        <f t="shared" si="2"/>
        <v>AF-1000-CDG-JFK-P00049</v>
      </c>
      <c r="S53" s="175" t="s">
        <v>251</v>
      </c>
      <c r="T53" s="172">
        <v>1500</v>
      </c>
      <c r="U53" s="172">
        <v>1400</v>
      </c>
      <c r="V53" s="172"/>
      <c r="W53" s="117"/>
    </row>
    <row r="54" spans="1:23" ht="13.5" customHeight="1" thickBot="1" x14ac:dyDescent="0.25">
      <c r="A54" s="168"/>
      <c r="B54" s="171"/>
      <c r="C54" s="118" t="s">
        <v>314</v>
      </c>
      <c r="D54" s="119" t="s">
        <v>282</v>
      </c>
      <c r="E54" s="120" t="s">
        <v>228</v>
      </c>
      <c r="F54" s="119" t="s">
        <v>58</v>
      </c>
      <c r="G54" s="121" t="s">
        <v>315</v>
      </c>
      <c r="H54" s="119">
        <v>2</v>
      </c>
      <c r="I54" s="119">
        <v>100</v>
      </c>
      <c r="J54" s="121" t="s">
        <v>354</v>
      </c>
      <c r="K54" s="122" t="s">
        <v>251</v>
      </c>
      <c r="L54" s="119">
        <v>1</v>
      </c>
      <c r="M54" s="119">
        <v>0</v>
      </c>
      <c r="N54" s="119">
        <v>1</v>
      </c>
      <c r="O54" s="119">
        <v>0</v>
      </c>
      <c r="P54" s="119">
        <v>0</v>
      </c>
      <c r="Q54" s="119">
        <v>0</v>
      </c>
      <c r="R54" s="119" t="str">
        <f t="shared" si="2"/>
        <v>AF-1000-CDG-JFK-P00050</v>
      </c>
      <c r="S54" s="122" t="s">
        <v>251</v>
      </c>
      <c r="T54" s="119">
        <v>1530</v>
      </c>
      <c r="U54" s="119">
        <v>1430</v>
      </c>
      <c r="V54" s="119"/>
      <c r="W54" s="123"/>
    </row>
  </sheetData>
  <mergeCells count="6">
    <mergeCell ref="T1:AJ1"/>
    <mergeCell ref="C24:S24"/>
    <mergeCell ref="A22:B23"/>
    <mergeCell ref="C1:S1"/>
    <mergeCell ref="C3:S3"/>
    <mergeCell ref="A31:B54"/>
  </mergeCells>
  <phoneticPr fontId="12" type="noConversion"/>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8A38A-0861-4B8F-9FAF-3032C468DC7A}">
  <dimension ref="A1"/>
  <sheetViews>
    <sheetView workbookViewId="0">
      <selection activeCell="D1" sqref="D1:D1048576"/>
    </sheetView>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Question</vt:lpstr>
      <vt:lpstr>Format données</vt:lpstr>
      <vt:lpstr>Cas de test</vt:lpstr>
      <vt:lpstr>Vols</vt:lpstr>
      <vt:lpstr>Passagers</vt:lpstr>
      <vt:lpstr>JDD</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Pascal DELAMAIRE</cp:lastModifiedBy>
  <dcterms:created xsi:type="dcterms:W3CDTF">1996-10-21T11:03:58Z</dcterms:created>
  <dcterms:modified xsi:type="dcterms:W3CDTF">2025-03-28T09:03:28Z</dcterms:modified>
</cp:coreProperties>
</file>